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cfa8b206b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ыписка" sheetId="1" r:id="Rb9e850dc08db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 hh:mm"/>
    <x:numFmt numFmtId="201" formatCode="#,##0.00"/>
    <x:numFmt numFmtId="202" formatCode="@"/>
  </x:numFmts>
  <x:fonts count="5">
    <x:font>
      <x:sz val="11"/>
      <x:name val="Carlito"/>
    </x:font>
    <x:font>
      <x:sz val="10"/>
      <x:color rgb="FF252422"/>
      <x:name val="Arial"/>
    </x:font>
    <x:font>
      <x:b/>
      <x:sz val="16"/>
      <x:color rgb="FFFFFFFF"/>
      <x:name val="Arial"/>
    </x:font>
    <x:font>
      <x:b/>
      <x:sz val="10"/>
      <x:color rgb="FF252422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2422"/>
      </x:patternFill>
    </x:fill>
    <x:fill>
      <x:patternFill patternType="solid">
        <x:fgColor rgb="FFECE7DE"/>
      </x:patternFill>
    </x:fill>
    <x:fill>
      <x:patternFill patternType="solid">
        <x:fgColor rgb="FFF5F2EC"/>
      </x:patternFill>
    </x:fill>
    <x:fill>
      <x:patternFill patternType="solid">
        <x:fgColor rgb="FF8A6A45"/>
      </x:patternFill>
    </x:fill>
  </x:fills>
  <x:borders count="3">
    <x:border/>
    <x:border>
      <x:left style="thin">
        <x:color rgb="FFD7D0C5"/>
      </x:left>
      <x:right style="thin">
        <x:color rgb="FFD7D0C5"/>
      </x:right>
      <x:top style="thin">
        <x:color rgb="FFD7D0C5"/>
      </x:top>
      <x:bottom style="thin">
        <x:color rgb="FFD7D0C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1" fontId="3" fillId="3" borderId="1" xfId="0" applyNumberFormat="1" applyFont="1" applyFill="1" applyBorder="1" applyAlignment="1">
      <x:alignment vertical="top" wrapText="1"/>
    </x:xf>
    <x:xf numFmtId="201" fontId="1" fillId="4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3" borderId="1" xfId="0" applyNumberFormat="1" applyFont="1" applyFill="1" applyBorder="1" applyAlignment="1">
      <x:alignment vertical="center"/>
    </x:xf>
    <x:xf numFmtId="202" fontId="1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220c7225344ac" /><Relationship Type="http://schemas.openxmlformats.org/officeDocument/2006/relationships/theme" Target="/xl/theme/theme1.xml" Id="Ra54765dba5d44363" /><Relationship Type="http://schemas.openxmlformats.org/officeDocument/2006/relationships/sharedStrings" Target="/xl/sharedStrings.xml" Id="R17dc4d0d7d164897" /><Relationship Type="http://schemas.openxmlformats.org/officeDocument/2006/relationships/worksheet" Target="/xl/worksheets/sheet1.xml" Id="Rb9e850dc08db4e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8" hidden="0" customWidth="1"/>
    <x:col min="2" max="2" width="19" hidden="0" customWidth="1"/>
    <x:col min="3" max="3" width="10" hidden="0" customWidth="1"/>
    <x:col min="4" max="4" width="10" hidden="0" customWidth="1"/>
    <x:col min="5" max="5" width="30" hidden="0" customWidth="1"/>
    <x:col min="6" max="6" width="10" hidden="0" customWidth="1"/>
    <x:col min="7" max="7" width="10" hidden="0" customWidth="1"/>
    <x:col min="8" max="8" width="10" hidden="0" customWidth="1"/>
    <x:col min="9" max="9" width="30" hidden="0" customWidth="1"/>
    <x:col min="10" max="10" width="15" hidden="0" customWidth="1"/>
    <x:col min="11" max="11" width="10" hidden="0" customWidth="1"/>
    <x:col min="12" max="12" width="10" hidden="0" customWidth="1"/>
    <x:col min="13" max="13" width="10" hidden="0" customWidth="1"/>
    <x:col min="14" max="14" width="15" hidden="0" customWidth="1"/>
    <x:col min="15" max="15" width="17" hidden="0" customWidth="1"/>
    <x:col min="16" max="16" width="14" hidden="0" customWidth="1"/>
    <x:col min="17" max="17" width="9" hidden="0" customWidth="1"/>
    <x:col min="18" max="18" width="28" hidden="0" customWidth="1"/>
    <x:col min="19" max="19" width="14" hidden="0" customWidth="1"/>
    <x:col min="20" max="20" width="14" hidden="0" customWidth="1"/>
    <x:col min="21" max="21" width="44" hidden="0" customWidth="1"/>
  </x:cols>
  <x:sheetData>
    <x:row r="1" ht="32" customHeight="1">
      <x:c r="A1" s="4" t="str">
        <x:v>ВЫПИСКА ОПЕРАЦИЙ ПО ЛИЦЕВОМУ СЧЕТУ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7" t="str">
        <x:v>Организация</x:v>
      </x:c>
      <x:c r="B3" s="9" t="str">
        <x:v>ООО «Атлас»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7" t="str">
        <x:v>Период</x:v>
      </x:c>
      <x:c r="B4" s="9" t="str">
        <x:v>01.08.2026–31.08.2026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7" t="str">
        <x:v>Входящий остаток</x:v>
      </x:c>
      <x:c r="B5" s="24" t="n">
        <x:v>2000000</x:v>
      </x:c>
      <x:c r="C5" s="25"/>
      <x:c r="D5" s="25"/>
      <x:c r="E5" s="25"/>
      <x:c r="F5" s="25"/>
      <x:c r="G5" s="2"/>
      <x:c r="H5" s="7" t="str">
        <x:v>Номер счёта</x:v>
      </x:c>
      <x:c r="I5" s="2"/>
      <x:c r="J5" s="2"/>
      <x:c r="K5" s="2"/>
      <x:c r="L5" s="2"/>
      <x:c r="M5" s="27" t="str">
        <x:v>40702810000000000003</x:v>
      </x:c>
      <x:c r="N5" s="2"/>
      <x:c r="O5" s="2"/>
      <x:c r="P5" s="2"/>
      <x:c r="Q5" s="2"/>
      <x:c r="R5" s="2"/>
      <x:c r="S5" s="2"/>
      <x:c r="T5" s="2"/>
      <x:c r="U5" s="2"/>
    </x:row>
    <x:row r="6">
      <x:c r="A6" s="7" t="str">
        <x:v>Поступления</x:v>
      </x:c>
      <x:c r="B6" s="24" t="n">
        <x:f>SUM(N12:N19)</x:f>
        <x:v>1150000</x:v>
      </x:c>
      <x:c r="C6" s="26" t="str">
        <x:v>Списания</x:v>
      </x:c>
      <x:c r="D6" s="24" t="n">
        <x:f>SUM(J12:J19)</x:f>
        <x:v>654100</x:v>
      </x:c>
      <x:c r="E6" s="26" t="str">
        <x:v>Исходящий остаток</x:v>
      </x:c>
      <x:c r="F6" s="24" t="n">
        <x:f>B5+B6-D6</x:f>
        <x:v>2495900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32" customHeight="1">
      <x:c r="A10" s="15" t="str">
        <x:v>№</x:v>
      </x:c>
      <x:c r="B10" s="15" t="str">
        <x:v>Дата</x:v>
      </x:c>
      <x:c r="C10" s="15"/>
      <x:c r="D10" s="15"/>
      <x:c r="E10" s="15" t="str">
        <x:v>Счёт дебета</x:v>
      </x:c>
      <x:c r="F10" s="15"/>
      <x:c r="G10" s="15"/>
      <x:c r="H10" s="15"/>
      <x:c r="I10" s="15" t="str">
        <x:v>Счёт кредита</x:v>
      </x:c>
      <x:c r="J10" s="15" t="str">
        <x:v>Дебет</x:v>
      </x:c>
      <x:c r="K10" s="15"/>
      <x:c r="L10" s="15"/>
      <x:c r="M10" s="15"/>
      <x:c r="N10" s="15" t="str">
        <x:v>Кредит</x:v>
      </x:c>
      <x:c r="O10" s="15" t="str">
        <x:v>Документ</x:v>
      </x:c>
      <x:c r="P10" s="15"/>
      <x:c r="Q10" s="15" t="str">
        <x:v>ВО</x:v>
      </x:c>
      <x:c r="R10" s="15" t="str">
        <x:v>Банк</x:v>
      </x:c>
      <x:c r="S10" s="15"/>
      <x:c r="T10" s="15"/>
      <x:c r="U10" s="15" t="str">
        <x:v>Назначение платежа</x:v>
      </x:c>
    </x:row>
    <x:row r="11" ht="32" customHeight="1">
      <x:c r="A11" s="14" t="str">
        <x:v>№</x:v>
      </x:c>
      <x:c r="B11" s="14" t="str">
        <x:v>Дата проводки</x:v>
      </x:c>
      <x:c r="C11" s="14" t="str">
        <x:v>Валюта</x:v>
      </x:c>
      <x:c r="D11" s="14" t="str">
        <x:v>Код</x:v>
      </x:c>
      <x:c r="E11" s="14" t="str">
        <x:v>Реквизиты плательщика</x:v>
      </x:c>
      <x:c r="F11" s="14"/>
      <x:c r="G11" s="14"/>
      <x:c r="H11" s="14"/>
      <x:c r="I11" s="14" t="str">
        <x:v>Реквизиты получателя</x:v>
      </x:c>
      <x:c r="J11" s="14" t="str">
        <x:v>Сумма по дебету</x:v>
      </x:c>
      <x:c r="K11" s="14"/>
      <x:c r="L11" s="14"/>
      <x:c r="M11" s="14"/>
      <x:c r="N11" s="14" t="str">
        <x:v>Сумма по кредиту</x:v>
      </x:c>
      <x:c r="O11" s="14" t="str">
        <x:v>Номер документа</x:v>
      </x:c>
      <x:c r="P11" s="14" t="str">
        <x:v>Дата документа</x:v>
      </x:c>
      <x:c r="Q11" s="14" t="str">
        <x:v>ВО</x:v>
      </x:c>
      <x:c r="R11" s="14" t="str">
        <x:v>Банк</x:v>
      </x:c>
      <x:c r="S11" s="14" t="str">
        <x:v>БИК</x:v>
      </x:c>
      <x:c r="T11" s="14" t="str">
        <x:v>Корр. счёт</x:v>
      </x:c>
      <x:c r="U11" s="14" t="str">
        <x:v>Назначение платежа</x:v>
      </x:c>
    </x:row>
    <x:row r="12" ht="55" customHeight="1">
      <x:c r="A12" s="18" t="n">
        <x:v>1</x:v>
      </x:c>
      <x:c r="B12" s="21" t="str">
        <x:v>01.08.2026 10:10</x:v>
      </x:c>
      <x:c r="C12" s="18"/>
      <x:c r="D12" s="18"/>
      <x:c r="E12" s="18" t="str">
        <x:v>40702810000000000102
5406999102
ООО «Вектор Строй»</x:v>
      </x:c>
      <x:c r="F12" s="18"/>
      <x:c r="G12" s="18"/>
      <x:c r="H12" s="18"/>
      <x:c r="I12" s="18" t="str">
        <x:v>40702810000000000003
5406999001
ООО «Атлас»</x:v>
      </x:c>
      <x:c r="J12" s="22"/>
      <x:c r="K12" s="18"/>
      <x:c r="L12" s="18"/>
      <x:c r="M12" s="18"/>
      <x:c r="N12" s="22" t="n">
        <x:v>510000</x:v>
      </x:c>
      <x:c r="O12" s="18" t="str">
        <x:v>СБ-0801</x:v>
      </x:c>
      <x:c r="P12" s="18"/>
      <x:c r="Q12" s="18" t="str">
        <x:v>01</x:v>
      </x:c>
      <x:c r="R12" s="18" t="str">
        <x:v>АО «Деловой банк»</x:v>
      </x:c>
      <x:c r="S12" s="18"/>
      <x:c r="T12" s="18"/>
      <x:c r="U12" s="18" t="str">
        <x:v>Оплата услуг по договору за проект Вектор</x:v>
      </x:c>
    </x:row>
    <x:row r="13" ht="55" customHeight="1">
      <x:c r="A13" s="18" t="n">
        <x:v>2</x:v>
      </x:c>
      <x:c r="B13" s="21" t="str">
        <x:v>09.08.2026 11:20</x:v>
      </x:c>
      <x:c r="C13" s="18"/>
      <x:c r="D13" s="18"/>
      <x:c r="E13" s="18" t="str">
        <x:v>40702810000000000103
5406999103
ООО «Орион Партнёр»</x:v>
      </x:c>
      <x:c r="F13" s="18"/>
      <x:c r="G13" s="18"/>
      <x:c r="H13" s="18"/>
      <x:c r="I13" s="18" t="str">
        <x:v>40702810000000000003
5406999001
ООО «Атлас»</x:v>
      </x:c>
      <x:c r="J13" s="22"/>
      <x:c r="K13" s="18"/>
      <x:c r="L13" s="18"/>
      <x:c r="M13" s="18"/>
      <x:c r="N13" s="22" t="n">
        <x:v>640000</x:v>
      </x:c>
      <x:c r="O13" s="18" t="str">
        <x:v>СБ-0802</x:v>
      </x:c>
      <x:c r="P13" s="18"/>
      <x:c r="Q13" s="18" t="str">
        <x:v>01</x:v>
      </x:c>
      <x:c r="R13" s="18" t="str">
        <x:v>АО «Сибирский банк»</x:v>
      </x:c>
      <x:c r="S13" s="18"/>
      <x:c r="T13" s="18"/>
      <x:c r="U13" s="18" t="str">
        <x:v>Оплата услуг по договору за проект Орион</x:v>
      </x:c>
    </x:row>
    <x:row r="14" ht="55" customHeight="1">
      <x:c r="A14" s="18" t="n">
        <x:v>3</x:v>
      </x:c>
      <x:c r="B14" s="21" t="str">
        <x:v>11.08.2026 12:30</x:v>
      </x:c>
      <x:c r="C14" s="18"/>
      <x:c r="D14" s="18"/>
      <x:c r="E14" s="18" t="str">
        <x:v>40702810000000000003
5406999001
ООО «Атлас»</x:v>
      </x:c>
      <x:c r="F14" s="18"/>
      <x:c r="G14" s="18"/>
      <x:c r="H14" s="18"/>
      <x:c r="I14" s="18" t="str">
        <x:v>40702810000000000112
5406999112
АО «Капитал Банк»</x:v>
      </x:c>
      <x:c r="J14" s="22" t="n">
        <x:v>120000</x:v>
      </x:c>
      <x:c r="K14" s="18"/>
      <x:c r="L14" s="18"/>
      <x:c r="M14" s="18"/>
      <x:c r="N14" s="22"/>
      <x:c r="O14" s="18" t="str">
        <x:v>СБ-0803</x:v>
      </x:c>
      <x:c r="P14" s="18"/>
      <x:c r="Q14" s="18" t="str">
        <x:v>01</x:v>
      </x:c>
      <x:c r="R14" s="18" t="str">
        <x:v>АО «Капитал Банк»</x:v>
      </x:c>
      <x:c r="S14" s="18"/>
      <x:c r="T14" s="18"/>
      <x:c r="U14" s="18" t="str">
        <x:v>Погашение основной суммы кредита</x:v>
      </x:c>
    </x:row>
    <x:row r="15" ht="55" customHeight="1">
      <x:c r="A15" s="18" t="n">
        <x:v>4</x:v>
      </x:c>
      <x:c r="B15" s="21" t="str">
        <x:v>14.08.2026 09:15</x:v>
      </x:c>
      <x:c r="C15" s="18"/>
      <x:c r="D15" s="18"/>
      <x:c r="E15" s="18" t="str">
        <x:v>40702810000000000003
5406999001
ООО «Атлас»</x:v>
      </x:c>
      <x:c r="F15" s="18"/>
      <x:c r="G15" s="18"/>
      <x:c r="H15" s="18"/>
      <x:c r="I15" s="18" t="str">
        <x:v>40702810000000000112
5406999112
АО «Капитал Банк»</x:v>
      </x:c>
      <x:c r="J15" s="22" t="n">
        <x:v>22000</x:v>
      </x:c>
      <x:c r="K15" s="18"/>
      <x:c r="L15" s="18"/>
      <x:c r="M15" s="18"/>
      <x:c r="N15" s="22"/>
      <x:c r="O15" s="18" t="str">
        <x:v>СБ-0804</x:v>
      </x:c>
      <x:c r="P15" s="18"/>
      <x:c r="Q15" s="18" t="str">
        <x:v>01</x:v>
      </x:c>
      <x:c r="R15" s="18" t="str">
        <x:v>АО «Капитал Банк»</x:v>
      </x:c>
      <x:c r="S15" s="18"/>
      <x:c r="T15" s="18"/>
      <x:c r="U15" s="18" t="str">
        <x:v>Проценты по кредиту за август</x:v>
      </x:c>
    </x:row>
    <x:row r="16" ht="55" customHeight="1">
      <x:c r="A16" s="18" t="n">
        <x:v>5</x:v>
      </x:c>
      <x:c r="B16" s="21" t="str">
        <x:v>17.08.2026 16:00</x:v>
      </x:c>
      <x:c r="C16" s="18"/>
      <x:c r="D16" s="18"/>
      <x:c r="E16" s="18" t="str">
        <x:v>40702810000000000003
5406999001
ООО «Атлас»</x:v>
      </x:c>
      <x:c r="F16" s="18"/>
      <x:c r="G16" s="18"/>
      <x:c r="H16" s="18"/>
      <x:c r="I16" s="18" t="str">
        <x:v>40702810000000000101
5406999101
ООО «Северный мост»</x:v>
      </x:c>
      <x:c r="J16" s="22" t="n">
        <x:v>3100</x:v>
      </x:c>
      <x:c r="K16" s="18"/>
      <x:c r="L16" s="18"/>
      <x:c r="M16" s="18"/>
      <x:c r="N16" s="22"/>
      <x:c r="O16" s="18" t="str">
        <x:v>СБ-0805</x:v>
      </x:c>
      <x:c r="P16" s="18"/>
      <x:c r="Q16" s="18" t="str">
        <x:v>09</x:v>
      </x:c>
      <x:c r="R16" s="18" t="str">
        <x:v>АО «Городской банк»</x:v>
      </x:c>
      <x:c r="S16" s="18"/>
      <x:c r="T16" s="18"/>
      <x:c r="U16" s="18" t="str">
        <x:v>Комиссия банка за расчетное обслуживание</x:v>
      </x:c>
    </x:row>
    <x:row r="17" ht="55" customHeight="1">
      <x:c r="A17" s="18" t="n">
        <x:v>6</x:v>
      </x:c>
      <x:c r="B17" s="21" t="str">
        <x:v>21.08.2026 14:10</x:v>
      </x:c>
      <x:c r="C17" s="18"/>
      <x:c r="D17" s="18"/>
      <x:c r="E17" s="18" t="str">
        <x:v>40702810000000000003
5406999001
ООО «Атлас»</x:v>
      </x:c>
      <x:c r="F17" s="18"/>
      <x:c r="G17" s="18"/>
      <x:c r="H17" s="18"/>
      <x:c r="I17" s="18" t="str">
        <x:v>40702810000000000104
5406999104
ООО «Деловой квартал»</x:v>
      </x:c>
      <x:c r="J17" s="22" t="n">
        <x:v>125000</x:v>
      </x:c>
      <x:c r="K17" s="18"/>
      <x:c r="L17" s="18"/>
      <x:c r="M17" s="18"/>
      <x:c r="N17" s="22"/>
      <x:c r="O17" s="18" t="str">
        <x:v>СБ-0806</x:v>
      </x:c>
      <x:c r="P17" s="18"/>
      <x:c r="Q17" s="18" t="str">
        <x:v>01</x:v>
      </x:c>
      <x:c r="R17" s="18" t="str">
        <x:v>АО «Городской банк»</x:v>
      </x:c>
      <x:c r="S17" s="18"/>
      <x:c r="T17" s="18"/>
      <x:c r="U17" s="18" t="str">
        <x:v>Аренда офиса за август</x:v>
      </x:c>
    </x:row>
    <x:row r="18" ht="55" customHeight="1">
      <x:c r="A18" s="18" t="n">
        <x:v>7</x:v>
      </x:c>
      <x:c r="B18" s="21" t="str">
        <x:v>25.08.2026 15:25</x:v>
      </x:c>
      <x:c r="C18" s="18"/>
      <x:c r="D18" s="18"/>
      <x:c r="E18" s="18" t="str">
        <x:v>40702810000000000003
5406999001
ООО «Атлас»</x:v>
      </x:c>
      <x:c r="F18" s="18"/>
      <x:c r="G18" s="18"/>
      <x:c r="H18" s="18"/>
      <x:c r="I18" s="18" t="str">
        <x:v>40702810000000000105
5406999105
Зарплатный реестр</x:v>
      </x:c>
      <x:c r="J18" s="22" t="n">
        <x:v>310000</x:v>
      </x:c>
      <x:c r="K18" s="18"/>
      <x:c r="L18" s="18"/>
      <x:c r="M18" s="18"/>
      <x:c r="N18" s="22"/>
      <x:c r="O18" s="18" t="str">
        <x:v>СБ-0807</x:v>
      </x:c>
      <x:c r="P18" s="18"/>
      <x:c r="Q18" s="18" t="str">
        <x:v>01</x:v>
      </x:c>
      <x:c r="R18" s="18" t="str">
        <x:v>АО «Расчётный банк»</x:v>
      </x:c>
      <x:c r="S18" s="18"/>
      <x:c r="T18" s="18"/>
      <x:c r="U18" s="18" t="str">
        <x:v>Заработная плата за август</x:v>
      </x:c>
    </x:row>
    <x:row r="19" ht="55" customHeight="1">
      <x:c r="A19" s="18" t="n">
        <x:v>8</x:v>
      </x:c>
      <x:c r="B19" s="21" t="str">
        <x:v>28.08.2026 10:35</x:v>
      </x:c>
      <x:c r="C19" s="18"/>
      <x:c r="D19" s="18"/>
      <x:c r="E19" s="18" t="str">
        <x:v>40702810000000000003
5406999001
ООО «Атлас»</x:v>
      </x:c>
      <x:c r="F19" s="18"/>
      <x:c r="G19" s="18"/>
      <x:c r="H19" s="18"/>
      <x:c r="I19" s="18" t="str">
        <x:v>40702810000000000113
5406999113
ООО «Контур Безопасности»</x:v>
      </x:c>
      <x:c r="J19" s="22" t="n">
        <x:v>74000</x:v>
      </x:c>
      <x:c r="K19" s="18"/>
      <x:c r="L19" s="18"/>
      <x:c r="M19" s="18"/>
      <x:c r="N19" s="22"/>
      <x:c r="O19" s="18" t="str">
        <x:v>СБ-0808</x:v>
      </x:c>
      <x:c r="P19" s="18"/>
      <x:c r="Q19" s="18" t="str">
        <x:v>01</x:v>
      </x:c>
      <x:c r="R19" s="18" t="str">
        <x:v>АО «Сибирский банк»</x:v>
      </x:c>
      <x:c r="S19" s="18"/>
      <x:c r="T19" s="18"/>
      <x:c r="U19" s="18" t="str">
        <x:v>Лицензия платформы информационной безопасности за август</x:v>
      </x:c>
    </x:row>
    <x:row r="20" ht="26" customHeight="1">
      <x:c r="A20" s="20" t="str">
        <x:v>Итого</x:v>
      </x:c>
      <x:c r="B20" s="20" t="str">
        <x:v>б/с</x:v>
      </x:c>
      <x:c r="C20" s="20"/>
      <x:c r="D20" s="20"/>
      <x:c r="E20" s="20"/>
      <x:c r="F20" s="20"/>
      <x:c r="G20" s="20"/>
      <x:c r="H20" s="20"/>
      <x:c r="I20" s="20"/>
      <x:c r="J20" s="23" t="n">
        <x:v>654100</x:v>
      </x:c>
      <x:c r="K20" s="20"/>
      <x:c r="L20" s="20"/>
      <x:c r="M20" s="20"/>
      <x:c r="N20" s="23" t="n">
        <x:v>1150000</x:v>
      </x:c>
      <x:c r="O20" s="20"/>
      <x:c r="P20" s="20"/>
      <x:c r="Q20" s="20"/>
      <x:c r="R20" s="20"/>
      <x:c r="S20" s="20"/>
      <x:c r="T20" s="20"/>
      <x:c r="U20" s="20"/>
    </x:row>
  </x:sheetData>
  <x:pageMargins left="0.7" right="0.7" top="0.75" bottom="0.75" header="0.3" footer="0.3"/>
</x:worksheet>
</file>