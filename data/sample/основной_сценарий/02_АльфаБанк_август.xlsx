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0c89bc841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писка" sheetId="1" r:id="R3c033d6f8e1c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 hh:mm"/>
    <x:numFmt numFmtId="201" formatCode="#,##0.00"/>
    <x:numFmt numFmtId="202" formatCode="@"/>
  </x:numFmts>
  <x:fonts count="5">
    <x:font>
      <x:sz val="11"/>
      <x:name val="Carlito"/>
    </x:font>
    <x:font>
      <x:sz val="10"/>
      <x:color rgb="FF252422"/>
      <x:name val="Arial"/>
    </x:font>
    <x:font>
      <x:b/>
      <x:sz val="16"/>
      <x:color rgb="FFFFFFFF"/>
      <x:name val="Arial"/>
    </x:font>
    <x:font>
      <x:b/>
      <x:sz val="10"/>
      <x:color rgb="FF252422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2422"/>
      </x:patternFill>
    </x:fill>
    <x:fill>
      <x:patternFill patternType="solid">
        <x:fgColor rgb="FFECE7DE"/>
      </x:patternFill>
    </x:fill>
    <x:fill>
      <x:patternFill patternType="solid">
        <x:fgColor rgb="FFF5F2EC"/>
      </x:patternFill>
    </x:fill>
    <x:fill>
      <x:patternFill patternType="solid">
        <x:fgColor rgb="FF8A6A45"/>
      </x:patternFill>
    </x:fill>
  </x:fills>
  <x:borders count="3">
    <x:border/>
    <x:border>
      <x:left style="thin">
        <x:color rgb="FFD7D0C5"/>
      </x:left>
      <x:right style="thin">
        <x:color rgb="FFD7D0C5"/>
      </x:right>
      <x:top style="thin">
        <x:color rgb="FFD7D0C5"/>
      </x:top>
      <x:bottom style="thin">
        <x:color rgb="FFD7D0C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c3881999a4a56" /><Relationship Type="http://schemas.openxmlformats.org/officeDocument/2006/relationships/theme" Target="/xl/theme/theme1.xml" Id="R8ef595ef68b34d24" /><Relationship Type="http://schemas.openxmlformats.org/officeDocument/2006/relationships/sharedStrings" Target="/xl/sharedStrings.xml" Id="R2da825e546ee4465" /><Relationship Type="http://schemas.openxmlformats.org/officeDocument/2006/relationships/worksheet" Target="/xl/worksheets/sheet1.xml" Id="R3c033d6f8e1c46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19" hidden="0" customWidth="1"/>
    <x:col min="2" max="2" width="24" hidden="0" customWidth="1"/>
    <x:col min="3" max="3" width="14" hidden="0" customWidth="1"/>
    <x:col min="4" max="4" width="14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14" hidden="0" customWidth="1"/>
    <x:col min="10" max="10" width="27" hidden="0" customWidth="1"/>
    <x:col min="11" max="11" width="42" hidden="0" customWidth="1"/>
    <x:col min="12" max="12" width="15" hidden="0" customWidth="1"/>
    <x:col min="13" max="13" width="22" hidden="0" customWidth="1"/>
  </x:cols>
  <x:sheetData>
    <x:row r="1" ht="32" customHeight="1">
      <x:c r="A1" s="4" t="str">
        <x:v>Выписка по счёту:</x:v>
      </x:c>
      <x:c r="B1" s="23" t="str">
        <x:v>40702810000000000002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Организация</x:v>
      </x:c>
      <x:c r="B2" s="9" t="str">
        <x:v>ООО «Атлас»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7" t="str">
        <x:v>Период</x:v>
      </x:c>
      <x:c r="B3" s="9" t="str">
        <x:v>01.08.2026–31.08.2026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7" t="str">
        <x:v>Входящий остаток</x:v>
      </x:c>
      <x:c r="B4" s="21" t="n">
        <x:v>1200000</x:v>
      </x:c>
      <x:c r="C4" s="22" t="str">
        <x:v>Поступления</x:v>
      </x:c>
      <x:c r="D4" s="21" t="n">
        <x:f>SUM(D13:D20)</x:f>
        <x:v>25000</x:v>
      </x:c>
      <x:c r="E4" s="22" t="str">
        <x:v>Списания</x:v>
      </x:c>
      <x:c r="F4" s="21" t="n">
        <x:f>SUM(C13:C20)</x:f>
        <x:v>434000</x:v>
      </x:c>
      <x:c r="G4" s="22" t="str">
        <x:v>Исходящий остаток</x:v>
      </x:c>
      <x:c r="H4" s="21" t="n">
        <x:f>B4+D4-F4</x:f>
        <x:v>791000</x:v>
      </x:c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30" customHeight="1">
      <x:c r="A11" s="15" t="str">
        <x:v>Документ</x:v>
      </x:c>
      <x:c r="B11" s="15"/>
      <x:c r="C11" s="15" t="str">
        <x:v>Сумма</x:v>
      </x:c>
      <x:c r="D11" s="15"/>
      <x:c r="E11" s="15" t="str">
        <x:v>Контрагент</x:v>
      </x:c>
      <x:c r="F11" s="15"/>
      <x:c r="G11" s="15"/>
      <x:c r="H11" s="15"/>
      <x:c r="I11" s="15"/>
      <x:c r="J11" s="15"/>
      <x:c r="K11" s="15" t="str">
        <x:v>Назначение</x:v>
      </x:c>
      <x:c r="L11" s="15"/>
      <x:c r="M11" s="15" t="str">
        <x:v>Вид</x:v>
      </x:c>
    </x:row>
    <x:row r="12" ht="30" customHeight="1">
      <x:c r="A12" s="14" t="str">
        <x:v>Дата</x:v>
      </x:c>
      <x:c r="B12" s="14" t="str">
        <x:v>Номер документа</x:v>
      </x:c>
      <x:c r="C12" s="14" t="str">
        <x:v>Дебет</x:v>
      </x:c>
      <x:c r="D12" s="14" t="str">
        <x:v>Кредит</x:v>
      </x:c>
      <x:c r="E12" s="14" t="str">
        <x:v>Контрагент</x:v>
      </x:c>
      <x:c r="F12" s="14" t="str">
        <x:v>ИНН</x:v>
      </x:c>
      <x:c r="G12" s="14" t="str">
        <x:v>КПП</x:v>
      </x:c>
      <x:c r="H12" s="14" t="str">
        <x:v>Счёт</x:v>
      </x:c>
      <x:c r="I12" s="14" t="str">
        <x:v>БИК</x:v>
      </x:c>
      <x:c r="J12" s="14" t="str">
        <x:v>Наименование банка</x:v>
      </x:c>
      <x:c r="K12" s="14" t="str">
        <x:v>Назначение платежа</x:v>
      </x:c>
      <x:c r="L12" s="14" t="str">
        <x:v>Код дебитора</x:v>
      </x:c>
      <x:c r="M12" s="14" t="str">
        <x:v>Тип документа</x:v>
      </x:c>
    </x:row>
    <x:row r="13" ht="38" customHeight="1">
      <x:c r="A13" s="19" t="str">
        <x:v>02.08.2026 09:25</x:v>
      </x:c>
      <x:c r="B13" s="18" t="str">
        <x:v>АБ-0801</x:v>
      </x:c>
      <x:c r="C13" s="20" t="n">
        <x:v>142000</x:v>
      </x:c>
      <x:c r="D13" s="20"/>
      <x:c r="E13" s="18" t="str">
        <x:v>ООО «Орион Партнёр»</x:v>
      </x:c>
      <x:c r="F13" s="18" t="str">
        <x:v>5406999103</x:v>
      </x:c>
      <x:c r="G13" s="18" t="str">
        <x:v>540601103</x:v>
      </x:c>
      <x:c r="H13" s="24" t="str">
        <x:v>40702810000000000103</x:v>
      </x:c>
      <x:c r="I13" s="18" t="str">
        <x:v>044525103</x:v>
      </x:c>
      <x:c r="J13" s="18" t="str">
        <x:v>АО «Сибирский банк»</x:v>
      </x:c>
      <x:c r="K13" s="18" t="str">
        <x:v>Оплата подрядчику за проект Орион</x:v>
      </x:c>
      <x:c r="L13" s="18" t="str"/>
      <x:c r="M13" s="18" t="str">
        <x:v>Платёжное поручение</x:v>
      </x:c>
    </x:row>
    <x:row r="14" ht="38" customHeight="1">
      <x:c r="A14" s="19" t="str">
        <x:v>04.08.2026 14:40</x:v>
      </x:c>
      <x:c r="B14" s="18" t="str">
        <x:v>АБ-0802</x:v>
      </x:c>
      <x:c r="C14" s="20" t="n">
        <x:v>95000</x:v>
      </x:c>
      <x:c r="D14" s="20"/>
      <x:c r="E14" s="18" t="str">
        <x:v>ООО «Комплект Плюс»</x:v>
      </x:c>
      <x:c r="F14" s="18" t="str">
        <x:v>5406999111</x:v>
      </x:c>
      <x:c r="G14" s="18" t="str">
        <x:v>540601111</x:v>
      </x:c>
      <x:c r="H14" s="24" t="str">
        <x:v>40702810000000000111</x:v>
      </x:c>
      <x:c r="I14" s="18" t="str">
        <x:v>044525111</x:v>
      </x:c>
      <x:c r="J14" s="18" t="str">
        <x:v>АО «Деловой банк»</x:v>
      </x:c>
      <x:c r="K14" s="18" t="str">
        <x:v>Аванс поставщику за проект Вектор</x:v>
      </x:c>
      <x:c r="L14" s="18" t="str"/>
      <x:c r="M14" s="18" t="str">
        <x:v>Платёжное поручение</x:v>
      </x:c>
    </x:row>
    <x:row r="15" ht="38" customHeight="1">
      <x:c r="A15" s="19" t="str">
        <x:v>07.08.2026 10:00</x:v>
      </x:c>
      <x:c r="B15" s="18" t="str">
        <x:v>АБ-0803</x:v>
      </x:c>
      <x:c r="C15" s="20" t="n">
        <x:v>67000</x:v>
      </x:c>
      <x:c r="D15" s="20"/>
      <x:c r="E15" s="18" t="str">
        <x:v>УФК по Новосибирской области</x:v>
      </x:c>
      <x:c r="F15" s="18" t="str">
        <x:v>5406999106</x:v>
      </x:c>
      <x:c r="G15" s="18" t="str">
        <x:v>540601106</x:v>
      </x:c>
      <x:c r="H15" s="24" t="str">
        <x:v>40102810000000000106</x:v>
      </x:c>
      <x:c r="I15" s="18" t="str">
        <x:v>015004950</x:v>
      </x:c>
      <x:c r="J15" s="18" t="str">
        <x:v>ОКЦ № 6 Сибирского ГУ Банка России</x:v>
      </x:c>
      <x:c r="K15" s="18" t="str">
        <x:v>Налоговый платеж</x:v>
      </x:c>
      <x:c r="L15" s="18" t="str"/>
      <x:c r="M15" s="18" t="str">
        <x:v>Платёжное поручение</x:v>
      </x:c>
    </x:row>
    <x:row r="16" ht="38" customHeight="1">
      <x:c r="A16" s="19" t="str">
        <x:v>10.08.2026 16:30</x:v>
      </x:c>
      <x:c r="B16" s="18" t="str">
        <x:v>АБ-0804</x:v>
      </x:c>
      <x:c r="C16" s="20" t="n">
        <x:v>48000</x:v>
      </x:c>
      <x:c r="D16" s="20"/>
      <x:c r="E16" s="18" t="str">
        <x:v>ООО «Маяк Медиа»</x:v>
      </x:c>
      <x:c r="F16" s="18" t="str">
        <x:v>5406999107</x:v>
      </x:c>
      <x:c r="G16" s="18" t="str">
        <x:v>540601107</x:v>
      </x:c>
      <x:c r="H16" s="24" t="str">
        <x:v>40702810000000000107</x:v>
      </x:c>
      <x:c r="I16" s="18" t="str">
        <x:v>044525107</x:v>
      </x:c>
      <x:c r="J16" s="18" t="str">
        <x:v>АО «Деловой банк»</x:v>
      </x:c>
      <x:c r="K16" s="18" t="str">
        <x:v>Продвижение проекта Вектор</x:v>
      </x:c>
      <x:c r="L16" s="18" t="str"/>
      <x:c r="M16" s="18" t="str">
        <x:v>Платёжное поручение</x:v>
      </x:c>
    </x:row>
    <x:row r="17" ht="38" customHeight="1">
      <x:c r="A17" s="19" t="str">
        <x:v>13.08.2026 11:15</x:v>
      </x:c>
      <x:c r="B17" s="18" t="str">
        <x:v>АБ-0805</x:v>
      </x:c>
      <x:c r="C17" s="20" t="n">
        <x:v>18500</x:v>
      </x:c>
      <x:c r="D17" s="20"/>
      <x:c r="E17" s="18" t="str">
        <x:v>ООО «Линия Связи»</x:v>
      </x:c>
      <x:c r="F17" s="18" t="str">
        <x:v>5406999108</x:v>
      </x:c>
      <x:c r="G17" s="18" t="str">
        <x:v>540601108</x:v>
      </x:c>
      <x:c r="H17" s="24" t="str">
        <x:v>40702810000000000108</x:v>
      </x:c>
      <x:c r="I17" s="18" t="str">
        <x:v>044525108</x:v>
      </x:c>
      <x:c r="J17" s="18" t="str">
        <x:v>АО «Сибирский банк»</x:v>
      </x:c>
      <x:c r="K17" s="18" t="str">
        <x:v>Услуги связи и интернета</x:v>
      </x:c>
      <x:c r="L17" s="18" t="str"/>
      <x:c r="M17" s="18" t="str">
        <x:v>Платёжное поручение</x:v>
      </x:c>
    </x:row>
    <x:row r="18" ht="38" customHeight="1">
      <x:c r="A18" s="19" t="str">
        <x:v>18.08.2026 13:50</x:v>
      </x:c>
      <x:c r="B18" s="18" t="str">
        <x:v>АБ-0806</x:v>
      </x:c>
      <x:c r="C18" s="20" t="n">
        <x:v>36000</x:v>
      </x:c>
      <x:c r="D18" s="20"/>
      <x:c r="E18" s="18" t="str">
        <x:v>АНО ДПО «Практика»</x:v>
      </x:c>
      <x:c r="F18" s="18" t="str">
        <x:v>5406999109</x:v>
      </x:c>
      <x:c r="G18" s="18" t="str">
        <x:v>540601109</x:v>
      </x:c>
      <x:c r="H18" s="24" t="str">
        <x:v>40702810000000000109</x:v>
      </x:c>
      <x:c r="I18" s="18" t="str">
        <x:v>044525109</x:v>
      </x:c>
      <x:c r="J18" s="18" t="str">
        <x:v>АО «Городской банк»</x:v>
      </x:c>
      <x:c r="K18" s="18" t="str">
        <x:v>Обучение сотрудников</x:v>
      </x:c>
      <x:c r="L18" s="18" t="str"/>
      <x:c r="M18" s="18" t="str">
        <x:v>Платёжное поручение</x:v>
      </x:c>
    </x:row>
    <x:row r="19" ht="38" customHeight="1">
      <x:c r="A19" s="19" t="str">
        <x:v>22.08.2026 09:45</x:v>
      </x:c>
      <x:c r="B19" s="18" t="str">
        <x:v>АБ-0807</x:v>
      </x:c>
      <x:c r="C19" s="20" t="n">
        <x:v>27500</x:v>
      </x:c>
      <x:c r="D19" s="20"/>
      <x:c r="E19" s="18" t="str">
        <x:v>ООО «Городские сети»</x:v>
      </x:c>
      <x:c r="F19" s="18" t="str">
        <x:v>5406999110</x:v>
      </x:c>
      <x:c r="G19" s="18" t="str">
        <x:v>540601110</x:v>
      </x:c>
      <x:c r="H19" s="24" t="str">
        <x:v>40702810000000000110</x:v>
      </x:c>
      <x:c r="I19" s="18" t="str">
        <x:v>044525110</x:v>
      </x:c>
      <x:c r="J19" s="18" t="str">
        <x:v>АО «Расчётный банк»</x:v>
      </x:c>
      <x:c r="K19" s="18" t="str">
        <x:v>Коммунальные услуги</x:v>
      </x:c>
      <x:c r="L19" s="18" t="str"/>
      <x:c r="M19" s="18" t="str">
        <x:v>Платёжное поручение</x:v>
      </x:c>
    </x:row>
    <x:row r="20" ht="38" customHeight="1">
      <x:c r="A20" s="19" t="str">
        <x:v>29.08.2026 15:10</x:v>
      </x:c>
      <x:c r="B20" s="18" t="str">
        <x:v>АБ-0808</x:v>
      </x:c>
      <x:c r="C20" s="20"/>
      <x:c r="D20" s="20" t="n">
        <x:v>25000</x:v>
      </x:c>
      <x:c r="E20" s="18" t="str">
        <x:v>ООО «Комплект Плюс»</x:v>
      </x:c>
      <x:c r="F20" s="18" t="str">
        <x:v>5406999111</x:v>
      </x:c>
      <x:c r="G20" s="18" t="str">
        <x:v>540601111</x:v>
      </x:c>
      <x:c r="H20" s="24" t="str">
        <x:v>40702810000000000111</x:v>
      </x:c>
      <x:c r="I20" s="18" t="str">
        <x:v>044525111</x:v>
      </x:c>
      <x:c r="J20" s="18" t="str">
        <x:v>АО «Деловой банк»</x:v>
      </x:c>
      <x:c r="K20" s="18" t="str">
        <x:v>Возврат аванса поставщиком</x:v>
      </x:c>
      <x:c r="L20" s="18" t="str"/>
      <x:c r="M20" s="18" t="str">
        <x:v>Платёжное поручение</x:v>
      </x:c>
    </x:row>
  </x:sheetData>
  <x:pageMargins left="0.7" right="0.7" top="0.75" bottom="0.75" header="0.3" footer="0.3"/>
</x:worksheet>
</file>