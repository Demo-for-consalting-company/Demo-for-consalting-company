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a0afaefa2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писка" sheetId="1" r:id="R4bf2de5602b5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 hh:mm"/>
    <x:numFmt numFmtId="201" formatCode="#,##0.00"/>
    <x:numFmt numFmtId="202" formatCode="@"/>
  </x:numFmts>
  <x:fonts count="5">
    <x:font>
      <x:sz val="11"/>
      <x:name val="Carlito"/>
    </x:font>
    <x:font>
      <x:sz val="10"/>
      <x:color rgb="FF252422"/>
      <x:name val="Arial"/>
    </x:font>
    <x:font>
      <x:b/>
      <x:sz val="16"/>
      <x:color rgb="FFFFFFFF"/>
      <x:name val="Arial"/>
    </x:font>
    <x:font>
      <x:b/>
      <x:sz val="10"/>
      <x:color rgb="FF252422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2422"/>
      </x:patternFill>
    </x:fill>
    <x:fill>
      <x:patternFill patternType="solid">
        <x:fgColor rgb="FFECE7DE"/>
      </x:patternFill>
    </x:fill>
    <x:fill>
      <x:patternFill patternType="solid">
        <x:fgColor rgb="FFF5F2EC"/>
      </x:patternFill>
    </x:fill>
    <x:fill>
      <x:patternFill patternType="solid">
        <x:fgColor rgb="FF8A6A45"/>
      </x:patternFill>
    </x:fill>
  </x:fills>
  <x:borders count="3">
    <x:border/>
    <x:border>
      <x:left style="thin">
        <x:color rgb="FFD7D0C5"/>
      </x:left>
      <x:right style="thin">
        <x:color rgb="FFD7D0C5"/>
      </x:right>
      <x:top style="thin">
        <x:color rgb="FFD7D0C5"/>
      </x:top>
      <x:bottom style="thin">
        <x:color rgb="FFD7D0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638103189403c" /><Relationship Type="http://schemas.openxmlformats.org/officeDocument/2006/relationships/theme" Target="/xl/theme/theme1.xml" Id="R73d9953017ba48ac" /><Relationship Type="http://schemas.openxmlformats.org/officeDocument/2006/relationships/sharedStrings" Target="/xl/sharedStrings.xml" Id="R4cd86db0a654405a" /><Relationship Type="http://schemas.openxmlformats.org/officeDocument/2006/relationships/worksheet" Target="/xl/worksheets/sheet1.xml" Id="R4bf2de5602b5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  <x:col min="9" max="9" width="40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  <x:col min="18" max="18" width="22" hidden="0" customWidth="1"/>
    <x:col min="19" max="19" width="22" hidden="0" customWidth="1"/>
    <x:col min="20" max="20" width="22" hidden="0" customWidth="1"/>
    <x:col min="21" max="21" width="23" hidden="0" customWidth="1"/>
    <x:col min="22" max="22" width="23" hidden="0" customWidth="1"/>
    <x:col min="23" max="23" width="23" hidden="0" customWidth="1"/>
    <x:col min="24" max="24" width="22" hidden="0" customWidth="1"/>
    <x:col min="25" max="25" width="22" hidden="0" customWidth="1"/>
    <x:col min="26" max="26" width="22" hidden="0" customWidth="1"/>
    <x:col min="27" max="27" width="14" hidden="0" customWidth="1"/>
    <x:col min="28" max="28" width="14" hidden="0" customWidth="1"/>
  </x:cols>
  <x:sheetData>
    <x:row r="1" ht="32" customHeight="1">
      <x:c r="A1" s="4" t="str">
        <x:v>ВЫПИСКА ПО СЧЁТУ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>
      <x:c r="A2" s="7" t="str">
        <x:v>Организация</x:v>
      </x:c>
      <x:c r="B2" s="9" t="str">
        <x:v>ООО «Атлас»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7" t="str">
        <x:v>Период</x:v>
      </x:c>
      <x:c r="B3" s="9" t="str">
        <x:v>01.08.2026–31.08.2026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7" t="str">
        <x:v>Номер счёта</x:v>
      </x:c>
      <x:c r="B4" s="22" t="str">
        <x:v>40702810000000000001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7" t="str">
        <x:v>Входящий остаток</x:v>
      </x:c>
      <x:c r="B5" s="20" t="n">
        <x:v>500000</x:v>
      </x:c>
      <x:c r="C5" s="21" t="str">
        <x:v>Поступления</x:v>
      </x:c>
      <x:c r="D5" s="20" t="n">
        <x:f>SUM(AB10:AB17)</x:f>
        <x:v>1800000</x:v>
      </x:c>
      <x:c r="E5" s="21" t="str">
        <x:v>Списания</x:v>
      </x:c>
      <x:c r="F5" s="20" t="n">
        <x:f>SUM(AA10:AA17)</x:f>
        <x:v>689900</x:v>
      </x:c>
      <x:c r="G5" s="21" t="str">
        <x:v>Исходящий остаток</x:v>
      </x:c>
      <x:c r="H5" s="20" t="n">
        <x:f>B5+D5-F5</x:f>
        <x:v>1610100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54" customHeight="1">
      <x:c r="A9" s="14" t="str">
        <x:v>Номер счёта</x:v>
      </x:c>
      <x:c r="B9" s="14" t="str">
        <x:v>Тип операции</x:v>
      </x:c>
      <x:c r="C9" s="14" t="str">
        <x:v>Дата проведения</x:v>
      </x:c>
      <x:c r="D9" s="14" t="str">
        <x:v>Номер документа</x:v>
      </x:c>
      <x:c r="E9" s="14" t="str">
        <x:v>Валюта операции</x:v>
      </x:c>
      <x:c r="F9" s="14" t="str">
        <x:v>Сумма в валюте счёта</x:v>
      </x:c>
      <x:c r="G9" s="14" t="str">
        <x:v>Валюта счёта</x:v>
      </x:c>
      <x:c r="H9" s="14" t="str">
        <x:v>Описание операции</x:v>
      </x:c>
      <x:c r="I9" s="14" t="str">
        <x:v>Назначение платежа</x:v>
      </x:c>
      <x:c r="J9" s="14" t="str">
        <x:v>Счет плательщика</x:v>
      </x:c>
      <x:c r="K9" s="14" t="str">
        <x:v>ИНН плательщика</x:v>
      </x:c>
      <x:c r="L9" s="14" t="str">
        <x:v>КПП плательщика</x:v>
      </x:c>
      <x:c r="M9" s="14" t="str">
        <x:v>Наименование плательщика</x:v>
      </x:c>
      <x:c r="N9" s="14" t="str">
        <x:v>БИК банка плательщика</x:v>
      </x:c>
      <x:c r="O9" s="14" t="str">
        <x:v>Корр. счет плательщика</x:v>
      </x:c>
      <x:c r="P9" s="14" t="str">
        <x:v>Счет получателя</x:v>
      </x:c>
      <x:c r="Q9" s="14" t="str">
        <x:v>Договор получателя</x:v>
      </x:c>
      <x:c r="R9" s="14" t="str">
        <x:v>ИНН получателя</x:v>
      </x:c>
      <x:c r="S9" s="14" t="str">
        <x:v>КПП получателя</x:v>
      </x:c>
      <x:c r="T9" s="14" t="str">
        <x:v>Наименование получателя</x:v>
      </x:c>
      <x:c r="U9" s="14" t="str">
        <x:v>БИК банка получателя</x:v>
      </x:c>
      <x:c r="V9" s="14" t="str">
        <x:v>Корр. счет получателя</x:v>
      </x:c>
      <x:c r="W9" s="14" t="str">
        <x:v>Счет контрагента</x:v>
      </x:c>
      <x:c r="X9" s="14" t="str">
        <x:v>ИНН контрагента</x:v>
      </x:c>
      <x:c r="Y9" s="14" t="str">
        <x:v>Наименование контрагента</x:v>
      </x:c>
      <x:c r="Z9" s="14" t="str">
        <x:v>БИК банка контрагента</x:v>
      </x:c>
      <x:c r="AA9" s="14" t="str">
        <x:v>Дебет</x:v>
      </x:c>
      <x:c r="AB9" s="14" t="str">
        <x:v>Кредит</x:v>
      </x:c>
    </x:row>
    <x:row r="10" ht="42" customHeight="1">
      <x:c r="A10" s="23" t="str">
        <x:v>40702810000000000001</x:v>
      </x:c>
      <x:c r="B10" s="17" t="str">
        <x:v>Поступление</x:v>
      </x:c>
      <x:c r="C10" s="18" t="str">
        <x:v>03.08.2026 10:15</x:v>
      </x:c>
      <x:c r="D10" s="17" t="str">
        <x:v>ТБ-0801</x:v>
      </x:c>
      <x:c r="E10" s="17" t="str">
        <x:v>RUB</x:v>
      </x:c>
      <x:c r="F10" s="19" t="n">
        <x:v>780000</x:v>
      </x:c>
      <x:c r="G10" s="17" t="str">
        <x:v>RUB</x:v>
      </x:c>
      <x:c r="H10" s="17" t="str">
        <x:v>Платёж по реквизитам</x:v>
      </x:c>
      <x:c r="I10" s="17" t="str">
        <x:v>Оплата по договору за проект Орион</x:v>
      </x:c>
      <x:c r="J10" s="23" t="str">
        <x:v>40702810000000000103</x:v>
      </x:c>
      <x:c r="K10" s="17" t="str">
        <x:v>5406999103</x:v>
      </x:c>
      <x:c r="L10" s="17" t="str">
        <x:v>540601103</x:v>
      </x:c>
      <x:c r="M10" s="17" t="str">
        <x:v>ООО «Орион Партнёр»</x:v>
      </x:c>
      <x:c r="N10" s="17" t="str">
        <x:v>044525103</x:v>
      </x:c>
      <x:c r="O10" s="23" t="str">
        <x:v>30101810000000000103</x:v>
      </x:c>
      <x:c r="P10" s="23" t="str">
        <x:v>40702810000000000001</x:v>
      </x:c>
      <x:c r="Q10" s="17" t="str"/>
      <x:c r="R10" s="17" t="str">
        <x:v>5406999001</x:v>
      </x:c>
      <x:c r="S10" s="17" t="str">
        <x:v>540601001</x:v>
      </x:c>
      <x:c r="T10" s="17" t="str">
        <x:v>ООО «Атлас»</x:v>
      </x:c>
      <x:c r="U10" s="17" t="str">
        <x:v>044525001</x:v>
      </x:c>
      <x:c r="V10" s="23" t="str">
        <x:v>30101810000000000001</x:v>
      </x:c>
      <x:c r="W10" s="23" t="str">
        <x:v>40702810000000000103</x:v>
      </x:c>
      <x:c r="X10" s="17" t="str">
        <x:v>5406999103</x:v>
      </x:c>
      <x:c r="Y10" s="17" t="str">
        <x:v>ООО «Орион Партнёр»</x:v>
      </x:c>
      <x:c r="Z10" s="17" t="str">
        <x:v>044525103</x:v>
      </x:c>
      <x:c r="AA10" s="19"/>
      <x:c r="AB10" s="19" t="n">
        <x:v>780000</x:v>
      </x:c>
    </x:row>
    <x:row r="11" ht="42" customHeight="1">
      <x:c r="A11" s="23" t="str">
        <x:v>40702810000000000001</x:v>
      </x:c>
      <x:c r="B11" s="17" t="str">
        <x:v>Списание</x:v>
      </x:c>
      <x:c r="C11" s="18" t="str">
        <x:v>05.08.2026 11:30</x:v>
      </x:c>
      <x:c r="D11" s="17" t="str">
        <x:v>ТБ-0802</x:v>
      </x:c>
      <x:c r="E11" s="17" t="str">
        <x:v>RUB</x:v>
      </x:c>
      <x:c r="F11" s="19" t="n">
        <x:v>165000</x:v>
      </x:c>
      <x:c r="G11" s="17" t="str">
        <x:v>RUB</x:v>
      </x:c>
      <x:c r="H11" s="17" t="str">
        <x:v>Платёж по реквизитам</x:v>
      </x:c>
      <x:c r="I11" s="17" t="str">
        <x:v>Оплата подрядчику за проект Вектор</x:v>
      </x:c>
      <x:c r="J11" s="23" t="str">
        <x:v>40702810000000000001</x:v>
      </x:c>
      <x:c r="K11" s="17" t="str">
        <x:v>5406999001</x:v>
      </x:c>
      <x:c r="L11" s="17" t="str">
        <x:v>540601001</x:v>
      </x:c>
      <x:c r="M11" s="17" t="str">
        <x:v>ООО «Атлас»</x:v>
      </x:c>
      <x:c r="N11" s="17" t="str">
        <x:v>044525001</x:v>
      </x:c>
      <x:c r="O11" s="23" t="str">
        <x:v>30101810000000000001</x:v>
      </x:c>
      <x:c r="P11" s="23" t="str">
        <x:v>40702810000000000102</x:v>
      </x:c>
      <x:c r="Q11" s="17" t="str"/>
      <x:c r="R11" s="17" t="str">
        <x:v>5406999102</x:v>
      </x:c>
      <x:c r="S11" s="17" t="str">
        <x:v>540601102</x:v>
      </x:c>
      <x:c r="T11" s="17" t="str">
        <x:v>ООО «Вектор Строй»</x:v>
      </x:c>
      <x:c r="U11" s="17" t="str">
        <x:v>044525102</x:v>
      </x:c>
      <x:c r="V11" s="23" t="str">
        <x:v>30101810000000000102</x:v>
      </x:c>
      <x:c r="W11" s="23" t="str">
        <x:v>40702810000000000102</x:v>
      </x:c>
      <x:c r="X11" s="17" t="str">
        <x:v>5406999102</x:v>
      </x:c>
      <x:c r="Y11" s="17" t="str">
        <x:v>ООО «Вектор Строй»</x:v>
      </x:c>
      <x:c r="Z11" s="17" t="str">
        <x:v>044525102</x:v>
      </x:c>
      <x:c r="AA11" s="19" t="n">
        <x:v>165000</x:v>
      </x:c>
      <x:c r="AB11" s="19"/>
    </x:row>
    <x:row r="12" ht="42" customHeight="1">
      <x:c r="A12" s="23" t="str">
        <x:v>40702810000000000001</x:v>
      </x:c>
      <x:c r="B12" s="17" t="str">
        <x:v>Списание</x:v>
      </x:c>
      <x:c r="C12" s="18" t="str">
        <x:v>06.08.2026 09:05</x:v>
      </x:c>
      <x:c r="D12" s="17" t="str">
        <x:v>ТБ-0803</x:v>
      </x:c>
      <x:c r="E12" s="17" t="str">
        <x:v>RUB</x:v>
      </x:c>
      <x:c r="F12" s="19" t="n">
        <x:v>2900</x:v>
      </x:c>
      <x:c r="G12" s="17" t="str">
        <x:v>RUB</x:v>
      </x:c>
      <x:c r="H12" s="17" t="str">
        <x:v>Комиссия</x:v>
      </x:c>
      <x:c r="I12" s="17" t="str">
        <x:v>Комиссия банка за расчетное обслуживание</x:v>
      </x:c>
      <x:c r="J12" s="23" t="str">
        <x:v>40702810000000000001</x:v>
      </x:c>
      <x:c r="K12" s="17" t="str">
        <x:v>5406999001</x:v>
      </x:c>
      <x:c r="L12" s="17" t="str">
        <x:v>540601001</x:v>
      </x:c>
      <x:c r="M12" s="17" t="str">
        <x:v>ООО «Атлас»</x:v>
      </x:c>
      <x:c r="N12" s="17" t="str">
        <x:v>044525001</x:v>
      </x:c>
      <x:c r="O12" s="23" t="str">
        <x:v>30101810000000000001</x:v>
      </x:c>
      <x:c r="P12" s="23" t="str">
        <x:v>40702810000000000101</x:v>
      </x:c>
      <x:c r="Q12" s="17" t="str"/>
      <x:c r="R12" s="17" t="str">
        <x:v>5406999101</x:v>
      </x:c>
      <x:c r="S12" s="17" t="str">
        <x:v>540601101</x:v>
      </x:c>
      <x:c r="T12" s="17" t="str">
        <x:v>ООО «Северный мост»</x:v>
      </x:c>
      <x:c r="U12" s="17" t="str">
        <x:v>044525101</x:v>
      </x:c>
      <x:c r="V12" s="23" t="str">
        <x:v>30101810000000000101</x:v>
      </x:c>
      <x:c r="W12" s="23" t="str">
        <x:v>40702810000000000101</x:v>
      </x:c>
      <x:c r="X12" s="17" t="str">
        <x:v>5406999101</x:v>
      </x:c>
      <x:c r="Y12" s="17" t="str">
        <x:v>ООО «Северный мост»</x:v>
      </x:c>
      <x:c r="Z12" s="17" t="str">
        <x:v>044525101</x:v>
      </x:c>
      <x:c r="AA12" s="19" t="n">
        <x:v>2900</x:v>
      </x:c>
      <x:c r="AB12" s="19"/>
    </x:row>
    <x:row r="13" ht="42" customHeight="1">
      <x:c r="A13" s="23" t="str">
        <x:v>40702810000000000001</x:v>
      </x:c>
      <x:c r="B13" s="17" t="str">
        <x:v>Списание</x:v>
      </x:c>
      <x:c r="C13" s="18" t="str">
        <x:v>08.08.2026 12:00</x:v>
      </x:c>
      <x:c r="D13" s="17" t="str">
        <x:v>ТБ-0804</x:v>
      </x:c>
      <x:c r="E13" s="17" t="str">
        <x:v>RUB</x:v>
      </x:c>
      <x:c r="F13" s="19" t="n">
        <x:v>125000</x:v>
      </x:c>
      <x:c r="G13" s="17" t="str">
        <x:v>RUB</x:v>
      </x:c>
      <x:c r="H13" s="17" t="str">
        <x:v>Платёж по реквизитам</x:v>
      </x:c>
      <x:c r="I13" s="17" t="str">
        <x:v>Аренда офиса за август</x:v>
      </x:c>
      <x:c r="J13" s="23" t="str">
        <x:v>40702810000000000001</x:v>
      </x:c>
      <x:c r="K13" s="17" t="str">
        <x:v>5406999001</x:v>
      </x:c>
      <x:c r="L13" s="17" t="str">
        <x:v>540601001</x:v>
      </x:c>
      <x:c r="M13" s="17" t="str">
        <x:v>ООО «Атлас»</x:v>
      </x:c>
      <x:c r="N13" s="17" t="str">
        <x:v>044525001</x:v>
      </x:c>
      <x:c r="O13" s="23" t="str">
        <x:v>30101810000000000001</x:v>
      </x:c>
      <x:c r="P13" s="23" t="str">
        <x:v>40702810000000000104</x:v>
      </x:c>
      <x:c r="Q13" s="17" t="str"/>
      <x:c r="R13" s="17" t="str">
        <x:v>5406999104</x:v>
      </x:c>
      <x:c r="S13" s="17" t="str">
        <x:v>540601104</x:v>
      </x:c>
      <x:c r="T13" s="17" t="str">
        <x:v>ООО «Деловой квартал»</x:v>
      </x:c>
      <x:c r="U13" s="17" t="str">
        <x:v>044525104</x:v>
      </x:c>
      <x:c r="V13" s="23" t="str">
        <x:v>30101810000000000104</x:v>
      </x:c>
      <x:c r="W13" s="23" t="str">
        <x:v>40702810000000000104</x:v>
      </x:c>
      <x:c r="X13" s="17" t="str">
        <x:v>5406999104</x:v>
      </x:c>
      <x:c r="Y13" s="17" t="str">
        <x:v>ООО «Деловой квартал»</x:v>
      </x:c>
      <x:c r="Z13" s="17" t="str">
        <x:v>044525104</x:v>
      </x:c>
      <x:c r="AA13" s="19" t="n">
        <x:v>125000</x:v>
      </x:c>
      <x:c r="AB13" s="19"/>
    </x:row>
    <x:row r="14" ht="42" customHeight="1">
      <x:c r="A14" s="23" t="str">
        <x:v>40702810000000000001</x:v>
      </x:c>
      <x:c r="B14" s="17" t="str">
        <x:v>Списание</x:v>
      </x:c>
      <x:c r="C14" s="18" t="str">
        <x:v>12.08.2026 15:45</x:v>
      </x:c>
      <x:c r="D14" s="17" t="str">
        <x:v>ТБ-0805</x:v>
      </x:c>
      <x:c r="E14" s="17" t="str">
        <x:v>RUB</x:v>
      </x:c>
      <x:c r="F14" s="19" t="n">
        <x:v>310000</x:v>
      </x:c>
      <x:c r="G14" s="17" t="str">
        <x:v>RUB</x:v>
      </x:c>
      <x:c r="H14" s="17" t="str">
        <x:v>Платёж по реквизитам</x:v>
      </x:c>
      <x:c r="I14" s="17" t="str">
        <x:v>Заработная плата за август</x:v>
      </x:c>
      <x:c r="J14" s="23" t="str">
        <x:v>40702810000000000001</x:v>
      </x:c>
      <x:c r="K14" s="17" t="str">
        <x:v>5406999001</x:v>
      </x:c>
      <x:c r="L14" s="17" t="str">
        <x:v>540601001</x:v>
      </x:c>
      <x:c r="M14" s="17" t="str">
        <x:v>ООО «Атлас»</x:v>
      </x:c>
      <x:c r="N14" s="17" t="str">
        <x:v>044525001</x:v>
      </x:c>
      <x:c r="O14" s="23" t="str">
        <x:v>30101810000000000001</x:v>
      </x:c>
      <x:c r="P14" s="23" t="str">
        <x:v>40702810000000000105</x:v>
      </x:c>
      <x:c r="Q14" s="17" t="str"/>
      <x:c r="R14" s="17" t="str">
        <x:v>5406999105</x:v>
      </x:c>
      <x:c r="S14" s="17" t="str"/>
      <x:c r="T14" s="17" t="str">
        <x:v>Зарплатный реестр</x:v>
      </x:c>
      <x:c r="U14" s="17" t="str">
        <x:v>044525105</x:v>
      </x:c>
      <x:c r="V14" s="23" t="str">
        <x:v>30101810000000000105</x:v>
      </x:c>
      <x:c r="W14" s="23" t="str">
        <x:v>40702810000000000105</x:v>
      </x:c>
      <x:c r="X14" s="17" t="str">
        <x:v>5406999105</x:v>
      </x:c>
      <x:c r="Y14" s="17" t="str">
        <x:v>Зарплатный реестр</x:v>
      </x:c>
      <x:c r="Z14" s="17" t="str">
        <x:v>044525105</x:v>
      </x:c>
      <x:c r="AA14" s="19" t="n">
        <x:v>310000</x:v>
      </x:c>
      <x:c r="AB14" s="19"/>
    </x:row>
    <x:row r="15" ht="42" customHeight="1">
      <x:c r="A15" s="23" t="str">
        <x:v>40702810000000000001</x:v>
      </x:c>
      <x:c r="B15" s="17" t="str">
        <x:v>Поступление</x:v>
      </x:c>
      <x:c r="C15" s="18" t="str">
        <x:v>16.08.2026 10:20</x:v>
      </x:c>
      <x:c r="D15" s="17" t="str">
        <x:v>ТБ-0806</x:v>
      </x:c>
      <x:c r="E15" s="17" t="str">
        <x:v>RUB</x:v>
      </x:c>
      <x:c r="F15" s="19" t="n">
        <x:v>420000</x:v>
      </x:c>
      <x:c r="G15" s="17" t="str">
        <x:v>RUB</x:v>
      </x:c>
      <x:c r="H15" s="17" t="str">
        <x:v>Платёж по реквизитам</x:v>
      </x:c>
      <x:c r="I15" s="17" t="str">
        <x:v>Аванс по договору за проект Вектор</x:v>
      </x:c>
      <x:c r="J15" s="23" t="str">
        <x:v>40702810000000000102</x:v>
      </x:c>
      <x:c r="K15" s="17" t="str">
        <x:v>5406999102</x:v>
      </x:c>
      <x:c r="L15" s="17" t="str">
        <x:v>540601102</x:v>
      </x:c>
      <x:c r="M15" s="17" t="str">
        <x:v>ООО «Вектор Строй»</x:v>
      </x:c>
      <x:c r="N15" s="17" t="str">
        <x:v>044525102</x:v>
      </x:c>
      <x:c r="O15" s="23" t="str">
        <x:v>30101810000000000102</x:v>
      </x:c>
      <x:c r="P15" s="23" t="str">
        <x:v>40702810000000000001</x:v>
      </x:c>
      <x:c r="Q15" s="17" t="str"/>
      <x:c r="R15" s="17" t="str">
        <x:v>5406999001</x:v>
      </x:c>
      <x:c r="S15" s="17" t="str">
        <x:v>540601001</x:v>
      </x:c>
      <x:c r="T15" s="17" t="str">
        <x:v>ООО «Атлас»</x:v>
      </x:c>
      <x:c r="U15" s="17" t="str">
        <x:v>044525001</x:v>
      </x:c>
      <x:c r="V15" s="23" t="str">
        <x:v>30101810000000000001</x:v>
      </x:c>
      <x:c r="W15" s="23" t="str">
        <x:v>40702810000000000102</x:v>
      </x:c>
      <x:c r="X15" s="17" t="str">
        <x:v>5406999102</x:v>
      </x:c>
      <x:c r="Y15" s="17" t="str">
        <x:v>ООО «Вектор Строй»</x:v>
      </x:c>
      <x:c r="Z15" s="17" t="str">
        <x:v>044525102</x:v>
      </x:c>
      <x:c r="AA15" s="19"/>
      <x:c r="AB15" s="19" t="n">
        <x:v>420000</x:v>
      </x:c>
    </x:row>
    <x:row r="16" ht="42" customHeight="1">
      <x:c r="A16" s="23" t="str">
        <x:v>40702810000000000001</x:v>
      </x:c>
      <x:c r="B16" s="17" t="str">
        <x:v>Списание</x:v>
      </x:c>
      <x:c r="C16" s="18" t="str">
        <x:v>20.08.2026 13:10</x:v>
      </x:c>
      <x:c r="D16" s="17" t="str">
        <x:v>ТБ-0807</x:v>
      </x:c>
      <x:c r="E16" s="17" t="str">
        <x:v>RUB</x:v>
      </x:c>
      <x:c r="F16" s="19" t="n">
        <x:v>87000</x:v>
      </x:c>
      <x:c r="G16" s="17" t="str">
        <x:v>RUB</x:v>
      </x:c>
      <x:c r="H16" s="17" t="str">
        <x:v>Платёж по реквизитам</x:v>
      </x:c>
      <x:c r="I16" s="17" t="str">
        <x:v>Оплата материалов за проект Орион</x:v>
      </x:c>
      <x:c r="J16" s="23" t="str">
        <x:v>40702810000000000001</x:v>
      </x:c>
      <x:c r="K16" s="17" t="str">
        <x:v>5406999001</x:v>
      </x:c>
      <x:c r="L16" s="17" t="str">
        <x:v>540601001</x:v>
      </x:c>
      <x:c r="M16" s="17" t="str">
        <x:v>ООО «Атлас»</x:v>
      </x:c>
      <x:c r="N16" s="17" t="str">
        <x:v>044525001</x:v>
      </x:c>
      <x:c r="O16" s="23" t="str">
        <x:v>30101810000000000001</x:v>
      </x:c>
      <x:c r="P16" s="23" t="str">
        <x:v>40702810000000000111</x:v>
      </x:c>
      <x:c r="Q16" s="17" t="str"/>
      <x:c r="R16" s="17" t="str">
        <x:v>5406999111</x:v>
      </x:c>
      <x:c r="S16" s="17" t="str">
        <x:v>540601111</x:v>
      </x:c>
      <x:c r="T16" s="17" t="str">
        <x:v>ООО «Комплект Плюс»</x:v>
      </x:c>
      <x:c r="U16" s="17" t="str">
        <x:v>044525111</x:v>
      </x:c>
      <x:c r="V16" s="23" t="str">
        <x:v>30101810000000000111</x:v>
      </x:c>
      <x:c r="W16" s="23" t="str">
        <x:v>40702810000000000111</x:v>
      </x:c>
      <x:c r="X16" s="17" t="str">
        <x:v>5406999111</x:v>
      </x:c>
      <x:c r="Y16" s="17" t="str">
        <x:v>ООО «Комплект Плюс»</x:v>
      </x:c>
      <x:c r="Z16" s="17" t="str">
        <x:v>044525111</x:v>
      </x:c>
      <x:c r="AA16" s="19" t="n">
        <x:v>87000</x:v>
      </x:c>
      <x:c r="AB16" s="19"/>
    </x:row>
    <x:row r="17" ht="42" customHeight="1">
      <x:c r="A17" s="23" t="str">
        <x:v>40702810000000000001</x:v>
      </x:c>
      <x:c r="B17" s="17" t="str">
        <x:v>Поступление</x:v>
      </x:c>
      <x:c r="C17" s="18" t="str">
        <x:v>27.08.2026 16:05</x:v>
      </x:c>
      <x:c r="D17" s="17" t="str">
        <x:v>ТБ-0808</x:v>
      </x:c>
      <x:c r="E17" s="17" t="str">
        <x:v>RUB</x:v>
      </x:c>
      <x:c r="F17" s="19" t="n">
        <x:v>600000</x:v>
      </x:c>
      <x:c r="G17" s="17" t="str">
        <x:v>RUB</x:v>
      </x:c>
      <x:c r="H17" s="17" t="str">
        <x:v>Платёж по реквизитам</x:v>
      </x:c>
      <x:c r="I17" s="17" t="str">
        <x:v>Получение кредита</x:v>
      </x:c>
      <x:c r="J17" s="23" t="str">
        <x:v>40702810000000000112</x:v>
      </x:c>
      <x:c r="K17" s="17" t="str">
        <x:v>5406999112</x:v>
      </x:c>
      <x:c r="L17" s="17" t="str">
        <x:v>540601112</x:v>
      </x:c>
      <x:c r="M17" s="17" t="str">
        <x:v>АО «Капитал Банк»</x:v>
      </x:c>
      <x:c r="N17" s="17" t="str">
        <x:v>044525112</x:v>
      </x:c>
      <x:c r="O17" s="23" t="str">
        <x:v>30101810000000000112</x:v>
      </x:c>
      <x:c r="P17" s="23" t="str">
        <x:v>40702810000000000001</x:v>
      </x:c>
      <x:c r="Q17" s="17" t="str"/>
      <x:c r="R17" s="17" t="str">
        <x:v>5406999001</x:v>
      </x:c>
      <x:c r="S17" s="17" t="str">
        <x:v>540601001</x:v>
      </x:c>
      <x:c r="T17" s="17" t="str">
        <x:v>ООО «Атлас»</x:v>
      </x:c>
      <x:c r="U17" s="17" t="str">
        <x:v>044525001</x:v>
      </x:c>
      <x:c r="V17" s="23" t="str">
        <x:v>30101810000000000001</x:v>
      </x:c>
      <x:c r="W17" s="23" t="str">
        <x:v>40702810000000000112</x:v>
      </x:c>
      <x:c r="X17" s="17" t="str">
        <x:v>5406999112</x:v>
      </x:c>
      <x:c r="Y17" s="17" t="str">
        <x:v>АО «Капитал Банк»</x:v>
      </x:c>
      <x:c r="Z17" s="17" t="str">
        <x:v>044525112</x:v>
      </x:c>
      <x:c r="AA17" s="19"/>
      <x:c r="AB17" s="19" t="n">
        <x:v>600000</x:v>
      </x:c>
    </x:row>
  </x:sheetData>
  <x:pageMargins left="0.7" right="0.7" top="0.75" bottom="0.75" header="0.3" footer="0.3"/>
</x:worksheet>
</file>