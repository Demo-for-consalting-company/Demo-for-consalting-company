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b45d9b65e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4c39385a8954729"/>
    <x:sheet xmlns:r="http://schemas.openxmlformats.org/officeDocument/2006/relationships" name="Операции" sheetId="2" r:id="R3b4fd73e86484ace"/>
    <x:sheet xmlns:r="http://schemas.openxmlformats.org/officeDocument/2006/relationships" name="Требует решения" sheetId="3" r:id="R98581a86577749a0"/>
    <x:sheet xmlns:r="http://schemas.openxmlformats.org/officeDocument/2006/relationships" name="Сверка" sheetId="4" r:id="R5df96579475c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;[Red](#,##0);-"/>
    <x:numFmt numFmtId="202" formatCode="mmm-yy"/>
    <x:numFmt numFmtId="203" formatCode="dd.mm.yyyy"/>
    <x:numFmt numFmtId="204" formatCode="#,##0.00;[Red](#,##0.00);-"/>
  </x:numFmts>
  <x:fonts count="15">
    <x:font>
      <x:sz val="11"/>
      <x:name val="Carlito"/>
    </x:font>
    <x:font>
      <x:sz val="10"/>
      <x:color rgb="FF24313F"/>
      <x:name val="Arial"/>
    </x:font>
    <x:font>
      <x:b/>
      <x:sz val="16"/>
      <x:color rgb="FF132238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b/>
      <x:sz val="10"/>
      <x:color rgb="FF2E5D47"/>
      <x:name val="Arial"/>
    </x:font>
    <x:font>
      <x:b/>
      <x:sz val="10"/>
      <x:color rgb="FF72562A"/>
      <x:name val="Arial"/>
    </x:font>
    <x:font>
      <x:b/>
      <x:sz val="10"/>
      <x:color rgb="FF9A762F"/>
      <x:name val="Arial"/>
    </x:font>
    <x:font>
      <x:b/>
      <x:sz val="10"/>
      <x:color rgb="FF243B53"/>
      <x:name val="Arial"/>
    </x:font>
    <x:font>
      <x:sz val="9"/>
      <x:color rgb="FF5D6B78"/>
      <x:name val="Arial"/>
    </x:font>
    <x:font>
      <x:b/>
      <x:sz val="9"/>
      <x:color rgb="FF6B7785"/>
      <x:name val="Arial"/>
    </x:font>
    <x:font>
      <x:sz val="10"/>
      <x:color rgb="FF4C4437"/>
      <x:name val="Arial"/>
    </x:font>
    <x:font>
      <x:i/>
      <x:sz val="9"/>
      <x:color rgb="FF6B7785"/>
      <x:name val="Arial"/>
    </x:font>
    <x:font>
      <x:sz val="10"/>
      <x:color rgb="FF1F5A94"/>
      <x:name val="Arial"/>
    </x:font>
    <x:font>
      <x:b/>
      <x:sz val="10"/>
      <x:color rgb="FF24313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243B53"/>
      </x:patternFill>
    </x:fill>
    <x:fill>
      <x:patternFill patternType="solid">
        <x:fgColor rgb="FFE7EFEA"/>
      </x:patternFill>
    </x:fill>
    <x:fill>
      <x:patternFill patternType="solid">
        <x:fgColor rgb="FFF4EAD4"/>
      </x:patternFill>
    </x:fill>
    <x:fill>
      <x:patternFill patternType="solid">
        <x:fgColor rgb="FFF8F2E6"/>
      </x:patternFill>
    </x:fill>
    <x:fill>
      <x:patternFill patternType="solid">
        <x:fgColor rgb="FFFFF0C7"/>
      </x:patternFill>
    </x:fill>
    <x:fill>
      <x:patternFill patternType="solid">
        <x:fgColor rgb="FFF5F1E8"/>
      </x:patternFill>
    </x:fill>
  </x:fills>
  <x:borders count="12">
    <x:border/>
    <x:border>
      <x:bottom style="thin">
        <x:color rgb="FFC8A96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bottom style="thin">
        <x:color rgb="FFE4E8EC"/>
      </x:bottom>
    </x:border>
    <x:border>
      <x:top style="thin">
        <x:color rgb="FFE4E8EC"/>
      </x:top>
      <x:bottom style="thin">
        <x:color rgb="FFE4E8EC"/>
      </x:bottom>
    </x:border>
    <x:border>
      <x:top style="thin">
        <x:color rgb="FFE4E8EC"/>
      </x:top>
    </x:border>
    <x:border>
      <x:top style="double">
        <x:color rgb="FF7B8794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4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200" fontId="5" fillId="4" borderId="7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top" wrapText="1"/>
    </x:xf>
    <x:xf numFmtId="203" fontId="13" fillId="7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11" xfId="0" applyNumberFormat="1" applyFont="1" applyFill="1" applyBorder="1"/>
    <x:xf numFmtId="201" fontId="14" fillId="0" borderId="11" xfId="0" applyNumberFormat="1" applyFont="1" applyFill="1" applyBorder="1"/>
    <x:xf numFmtId="204" fontId="0" fillId="0" borderId="0" xfId="0" applyNumberFormat="1" applyFont="1" applyFill="1" applyBorder="1"/>
    <x:xf numFmtId="204" fontId="14" fillId="0" borderId="0" xfId="0" applyNumberFormat="1" applyFont="1" applyFill="1" applyBorder="1"/>
    <x:xf numFmtId="204" fontId="14" fillId="0" borderId="1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2C2C"/>
      </x:font>
      <x:fill>
        <x:patternFill patternType="solid">
          <x:bgColor rgb="FFF8D7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c8274f64243c4" /><Relationship Type="http://schemas.openxmlformats.org/officeDocument/2006/relationships/theme" Target="/xl/theme/theme1.xml" Id="R85fb1d74e79a4af9" /><Relationship Type="http://schemas.openxmlformats.org/officeDocument/2006/relationships/sharedStrings" Target="/xl/sharedStrings.xml" Id="R093650b237544242" /><Relationship Type="http://schemas.openxmlformats.org/officeDocument/2006/relationships/worksheet" Target="/xl/worksheets/sheet1.xml" Id="R34c39385a8954729" /><Relationship Type="http://schemas.openxmlformats.org/officeDocument/2006/relationships/worksheet" Target="/xl/worksheets/sheet2.xml" Id="R3b4fd73e86484ace" /><Relationship Type="http://schemas.openxmlformats.org/officeDocument/2006/relationships/worksheet" Target="/xl/worksheets/sheet3.xml" Id="R98581a86577749a0" /><Relationship Type="http://schemas.openxmlformats.org/officeDocument/2006/relationships/worksheet" Target="/xl/worksheets/sheet4.xml" Id="R5df96579475c4f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32238"/>
  </x:sheetPr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2" hidden="0" customWidth="1"/>
    <x:col min="4" max="4" width="3" hidden="0" customWidth="1"/>
    <x:col min="5" max="5" width="22" hidden="0" customWidth="1"/>
    <x:col min="6" max="6" width="38" hidden="0" customWidth="1"/>
    <x:col min="7" max="7" width="10" hidden="0" customWidth="1"/>
    <x:col min="8" max="8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Учебный пример обработки банковских выписок</x:v>
      </x:c>
      <x:c r="B2" s="3"/>
      <x:c r="C2" s="3"/>
      <x:c r="D2" s="3"/>
      <x:c r="E2" s="3"/>
      <x:c r="F2" s="3"/>
      <x:c r="G2" s="3"/>
      <x:c r="H2" s="3"/>
    </x:row>
    <x:row r="3">
      <x:c r="A3" s="5" t="str">
        <x:v>Компания «Атлас». Август 2026. Все сведения вымышлены и обезличены.</x:v>
      </x:c>
      <x:c r="B3" s="5"/>
      <x:c r="C3" s="5"/>
      <x:c r="D3" s="5"/>
      <x:c r="E3" s="5"/>
      <x:c r="F3" s="5"/>
      <x:c r="G3" s="5"/>
      <x:c r="H3" s="5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7" t="str">
        <x:v>Результат обработки</x:v>
      </x:c>
      <x:c r="B5" s="7"/>
      <x:c r="C5" s="7"/>
      <x:c r="D5" s="7"/>
      <x:c r="E5" s="7" t="str">
        <x:v>Денежный итог</x:v>
      </x:c>
      <x:c r="F5" s="7"/>
      <x:c r="G5" s="7"/>
      <x:c r="H5" s="7"/>
    </x:row>
    <x:row r="6" ht="34" customHeight="1">
      <x:c r="A6" s="16" t="str">
        <x:v>Показатель</x:v>
      </x:c>
      <x:c r="B6" s="17" t="str">
        <x:v>Значение</x:v>
      </x:c>
      <x:c r="C6" s="18" t="str">
        <x:v>Комментарий</x:v>
      </x:c>
      <x:c r="D6" s="2"/>
      <x:c r="E6" s="19" t="str">
        <x:v>Поступления</x:v>
      </x:c>
      <x:c r="F6" s="29" t="n">
        <x:f>SUM('Операции'!$F$5:$F$27)+SUM('Требует решения'!$D$5:$D$5)</x:f>
        <x:v>2975000</x:v>
      </x:c>
      <x:c r="G6" s="2"/>
      <x:c r="H6" s="2"/>
    </x:row>
    <x:row r="7">
      <x:c r="A7" s="19" t="str">
        <x:v>Строк во входных файлах</x:v>
      </x:c>
      <x:c r="B7" s="22" t="n">
        <x:f>COUNTA('Операции'!$A$5:$A$27)+COUNTA('Требует решения'!$A$5:$A$5)</x:f>
        <x:v>24</x:v>
      </x:c>
      <x:c r="C7" s="19" t="str">
        <x:v>Три исходные выписки</x:v>
      </x:c>
      <x:c r="D7" s="2"/>
      <x:c r="E7" s="20" t="str">
        <x:v>Списания</x:v>
      </x:c>
      <x:c r="F7" s="30" t="n">
        <x:f>SUM('Операции'!$G$5:$G$27)+SUM('Требует решения'!$E$5:$E$5)</x:f>
        <x:v>1778000</x:v>
      </x:c>
      <x:c r="G7" s="2"/>
      <x:c r="H7" s="2"/>
    </x:row>
    <x:row r="8">
      <x:c r="A8" s="20" t="str">
        <x:v>Готово к загрузке</x:v>
      </x:c>
      <x:c r="B8" s="23" t="n">
        <x:f>COUNTA('Операции'!$A$5:$A$27)</x:f>
        <x:v>23</x:v>
      </x:c>
      <x:c r="C8" s="20" t="str">
        <x:v>Статья найдена по принятому правилу</x:v>
      </x:c>
      <x:c r="D8" s="2"/>
      <x:c r="E8" s="20" t="str">
        <x:v>Чистый денежный поток</x:v>
      </x:c>
      <x:c r="F8" s="30" t="n">
        <x:f>F6-F7</x:f>
        <x:v>1197000</x:v>
      </x:c>
      <x:c r="G8" s="2"/>
      <x:c r="H8" s="2"/>
    </x:row>
    <x:row r="9">
      <x:c r="A9" s="20" t="str">
        <x:v>Требует решения</x:v>
      </x:c>
      <x:c r="B9" s="23" t="n">
        <x:f>COUNTA('Требует решения'!$A$5:$A$5)</x:f>
        <x:v>1</x:v>
      </x:c>
      <x:c r="C9" s="20" t="str">
        <x:v>Нужно решение финансиста</x:v>
      </x:c>
      <x:c r="D9" s="2"/>
      <x:c r="E9" s="20" t="str">
        <x:v>Валюта</x:v>
      </x:c>
      <x:c r="F9" s="20" t="str">
        <x:v>RUB</x:v>
      </x:c>
      <x:c r="G9" s="2"/>
      <x:c r="H9" s="2"/>
    </x:row>
    <x:row r="10">
      <x:c r="A10" s="20" t="str">
        <x:v>Дубли</x:v>
      </x:c>
      <x:c r="B10" s="23" t="n">
        <x:f>0</x:f>
        <x:v>0</x:v>
      </x:c>
      <x:c r="C10" s="20" t="str">
        <x:v>В основном сценарии</x:v>
      </x:c>
      <x:c r="D10" s="2"/>
      <x:c r="E10" s="20" t="str">
        <x:v>Период</x:v>
      </x:c>
      <x:c r="F10" s="31" t="n">
        <x:v>46235</x:v>
      </x:c>
      <x:c r="G10" s="2"/>
      <x:c r="H10" s="2"/>
    </x:row>
    <x:row r="11">
      <x:c r="A11" s="21" t="str">
        <x:v>Контроль количества</x:v>
      </x:c>
      <x:c r="B11" s="27" t="n">
        <x:f>B7-B8-B9-B10</x:f>
        <x:v>0</x:v>
      </x:c>
      <x:c r="C11" s="28" t="str">
        <x:f>IF(B11=0,"Сошёлся","Проверить")</x:f>
        <x:v>Сошёлся</x:v>
      </x:c>
      <x:c r="D11" s="2"/>
      <x:c r="E11" s="21" t="str">
        <x:v>Статус</x:v>
      </x:c>
      <x:c r="F11" s="34" t="str">
        <x:f>IF(C11="Сошёлся","Перейдите к исключению","Остановите обработку")</x:f>
        <x:v>Перейдите к исключению</x:v>
      </x:c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7" t="str">
        <x:v>Порядок работы</x:v>
      </x:c>
      <x:c r="B14" s="7"/>
      <x:c r="C14" s="7"/>
      <x:c r="D14" s="7"/>
      <x:c r="E14" s="7" t="str">
        <x:v>Файлы учебного примера</x:v>
      </x:c>
      <x:c r="F14" s="7"/>
      <x:c r="G14" s="7"/>
      <x:c r="H14" s="7"/>
    </x:row>
    <x:row r="15" ht="30" customHeight="1">
      <x:c r="A15" s="36" t="n">
        <x:v>1</x:v>
      </x:c>
      <x:c r="B15" s="37" t="str">
        <x:v>Откройте три выписки из основного сценария</x:v>
      </x:c>
      <x:c r="C15" s="37"/>
      <x:c r="D15" s="37"/>
      <x:c r="E15" s="38" t="str">
        <x:v>Т-Банк</x:v>
      </x:c>
      <x:c r="F15" s="40" t="str">
        <x:v>data/sample/основной_сценарий/01_ТБанк_август.xlsx</x:v>
      </x:c>
      <x:c r="G15" s="40"/>
      <x:c r="H15" s="40"/>
    </x:row>
    <x:row r="16" ht="30" customHeight="1">
      <x:c r="A16" s="36" t="n">
        <x:v>2</x:v>
      </x:c>
      <x:c r="B16" s="37" t="str">
        <x:v>Запустите обработку или используйте готовое задание агенту</x:v>
      </x:c>
      <x:c r="C16" s="37"/>
      <x:c r="D16" s="37"/>
      <x:c r="E16" s="38" t="str">
        <x:v>Альфа-Банк</x:v>
      </x:c>
      <x:c r="F16" s="40" t="str">
        <x:v>data/sample/основной_сценарий/02_АльфаБанк_август.xlsx</x:v>
      </x:c>
      <x:c r="G16" s="40"/>
      <x:c r="H16" s="40"/>
    </x:row>
    <x:row r="17" ht="30" customHeight="1">
      <x:c r="A17" s="36" t="n">
        <x:v>3</x:v>
      </x:c>
      <x:c r="B17" s="37" t="str">
        <x:v>Сравните результат со вкладками этой книги</x:v>
      </x:c>
      <x:c r="C17" s="37"/>
      <x:c r="D17" s="37"/>
      <x:c r="E17" s="38" t="str">
        <x:v>СберБизнес</x:v>
      </x:c>
      <x:c r="F17" s="40" t="str">
        <x:v>data/sample/основной_сценарий/03_СберБизнес_август_новая_статья.xlsx</x:v>
      </x:c>
      <x:c r="G17" s="40"/>
      <x:c r="H17" s="40"/>
    </x:row>
    <x:row r="18" ht="30" customHeight="1">
      <x:c r="A18" s="36" t="n">
        <x:v>4</x:v>
      </x:c>
      <x:c r="B18" s="37" t="str">
        <x:v>Проверьте вкладку «Сверка»</x:v>
      </x:c>
      <x:c r="C18" s="37"/>
      <x:c r="D18" s="37"/>
      <x:c r="E18" s="38" t="str">
        <x:v>Проверка дублей</x:v>
      </x:c>
      <x:c r="F18" s="40" t="str">
        <x:v>data/sample/дополнительно/04_ТБанк_повторная_загрузка.xlsx</x:v>
      </x:c>
      <x:c r="G18" s="40"/>
      <x:c r="H18" s="40"/>
    </x:row>
    <x:row r="19" ht="30" customHeight="1">
      <x:c r="A19" s="36" t="n">
        <x:v>5</x:v>
      </x:c>
      <x:c r="B19" s="37" t="str">
        <x:v>Разберите строку на вкладке «Требует решения»</x:v>
      </x:c>
      <x:c r="C19" s="37"/>
      <x:c r="D19" s="37"/>
      <x:c r="E19" s="38" t="str">
        <x:v>Инструкция</x:v>
      </x:c>
      <x:c r="F19" s="40" t="str">
        <x:v>docs/08_инструкция_по_работе_финансовой_команды.md</x:v>
      </x:c>
      <x:c r="G19" s="40"/>
      <x:c r="H19" s="40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 ht="22" customHeight="1">
      <x:c r="A22" s="7" t="str">
        <x:v>Исключение, которое должен решить финансист</x:v>
      </x:c>
      <x:c r="B22" s="7"/>
      <x:c r="C22" s="7"/>
      <x:c r="D22" s="7"/>
      <x:c r="E22" s="7"/>
      <x:c r="F22" s="7"/>
      <x:c r="G22" s="7"/>
      <x:c r="H22" s="7"/>
    </x:row>
    <x:row r="23">
      <x:c r="A23" s="43" t="str">
        <x:v>Дата</x:v>
      </x:c>
      <x:c r="B23" s="43"/>
      <x:c r="C23" s="43" t="str">
        <x:v>Списание</x:v>
      </x:c>
      <x:c r="D23" s="43"/>
      <x:c r="E23" s="43" t="str">
        <x:v>Контрагент</x:v>
      </x:c>
      <x:c r="F23" s="43"/>
      <x:c r="G23" s="43"/>
      <x:c r="H23" s="43"/>
    </x:row>
    <x:row r="24">
      <x:c r="A24" s="41" t="n">
        <x:f>'Требует решения'!B5</x:f>
        <x:v>46262</x:v>
      </x:c>
      <x:c r="B24" s="2"/>
      <x:c r="C24" s="42" t="n">
        <x:f>'Требует решения'!E5</x:f>
        <x:v>74000</x:v>
      </x:c>
      <x:c r="D24" s="2"/>
      <x:c r="E24" s="2" t="str">
        <x:f>'Требует решения'!G5</x:f>
        <x:v>ООО «Контур Безопасности»</x:v>
      </x:c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34" customHeight="1">
      <x:c r="A26" s="47" t="str">
        <x:v>Вопрос финансисту</x:v>
      </x:c>
      <x:c r="B26" s="47" t="str">
        <x:v>К какой статье, проекту и строкам отчётности отнести лицензию платформы информационной безопасности? Общее правило не создаётся автоматически по одной строке.</x:v>
      </x:c>
      <x:c r="C26" s="47"/>
      <x:c r="D26" s="47"/>
      <x:c r="E26" s="47"/>
      <x:c r="F26" s="47"/>
      <x:c r="G26" s="47"/>
      <x:c r="H26" s="47"/>
    </x:row>
    <x:row r="27" ht="34" customHeight="1">
      <x:c r="A27" s="47"/>
      <x:c r="B27" s="47"/>
      <x:c r="C27" s="47"/>
      <x:c r="D27" s="47"/>
      <x:c r="E27" s="47"/>
      <x:c r="F27" s="47"/>
      <x:c r="G27" s="47"/>
      <x:c r="H27" s="47"/>
    </x:row>
    <x:row r="28">
      <x:c r="A28" s="2"/>
      <x:c r="B28" s="2"/>
      <x:c r="C28" s="2"/>
      <x:c r="D28" s="2"/>
      <x:c r="E28" s="2"/>
      <x:c r="F28" s="2"/>
      <x:c r="G28" s="2"/>
      <x:c r="H28" s="2"/>
    </x:row>
  </x:sheetData>
  <x:mergeCells>
    <x:mergeCell ref="A26:A27"/>
    <x:mergeCell ref="B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8C5A0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8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9" hidden="0" customWidth="1"/>
    <x:col min="11" max="11" width="18" hidden="0" customWidth="1"/>
    <x:col min="12" max="12" width="23" hidden="0" customWidth="1"/>
    <x:col min="13" max="13" width="24" hidden="0" customWidth="1"/>
    <x:col min="14" max="14" width="25" hidden="0" customWidth="1"/>
    <x:col min="15" max="15" width="27" hidden="0" customWidth="1"/>
    <x:col min="16" max="16" width="15" hidden="0" customWidth="1"/>
    <x:col min="17" max="17" width="17" hidden="0" customWidth="1"/>
    <x:col min="18" max="18" width="26" hidden="0" customWidth="1"/>
    <x:col min="19" max="19" width="14" hidden="0" customWidth="1"/>
    <x:col min="20" max="20" width="42" hidden="0" customWidth="1"/>
    <x:col min="21" max="21" width="9" hidden="0" customWidth="1"/>
    <x:col min="22" max="22" width="20" hidden="0" customWidth="1"/>
    <x:col min="23" max="23" width="20" hidden="0" customWidth="1"/>
    <x:col min="24" max="24" width="16" hidden="0" customWidth="1"/>
    <x:col min="25" max="25" width="24" hidden="0" customWidth="1"/>
    <x:col min="26" max="26" width="25" hidden="0" customWidth="1"/>
    <x:col min="27" max="27" width="15" hidden="0" customWidth="1"/>
    <x:col min="28" max="28" width="18" hidden="0" customWidth="1"/>
    <x:col min="29" max="29" width="20" hidden="0" customWidth="1"/>
    <x:col min="30" max="30" width="16" hidden="0" customWidth="1"/>
    <x:col min="31" max="31" width="26" hidden="0" customWidth="1"/>
    <x:col min="32" max="32" width="22" hidden="0" customWidth="1"/>
  </x:cols>
  <x:sheetData>
    <x:row r="1" ht="28" customHeight="1">
      <x:c r="A1" s="3" t="str">
        <x:v>Готовые операции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48" t="str">
        <x:v>Источник: output/sample/готовые_операции.csv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  <x:c r="AA2" s="48"/>
      <x:c r="AB2" s="48"/>
      <x:c r="AC2" s="48"/>
      <x:c r="AD2" s="48"/>
      <x:c r="AE2" s="48"/>
      <x:c r="AF2" s="4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 ht="34" customHeight="1">
      <x:c r="A4" s="16" t="str">
        <x:v>ID операции</x:v>
      </x:c>
      <x:c r="B4" s="17" t="str">
        <x:v>Дата операции</x:v>
      </x:c>
      <x:c r="C4" s="17" t="str">
        <x:v>Дата начисления</x:v>
      </x:c>
      <x:c r="D4" s="17" t="str">
        <x:v>Тип записи</x:v>
      </x:c>
      <x:c r="E4" s="17" t="str">
        <x:v>Тип операции</x:v>
      </x:c>
      <x:c r="F4" s="17" t="str">
        <x:v>Поступление</x:v>
      </x:c>
      <x:c r="G4" s="17" t="str">
        <x:v>Списание</x:v>
      </x:c>
      <x:c r="H4" s="17" t="str">
        <x:v>Сумма ДДС</x:v>
      </x:c>
      <x:c r="I4" s="17" t="str">
        <x:v>Сумма учета</x:v>
      </x:c>
      <x:c r="J4" s="17" t="str">
        <x:v>Валюта</x:v>
      </x:c>
      <x:c r="K4" s="17" t="str">
        <x:v>Счёт денежных средств</x:v>
      </x:c>
      <x:c r="L4" s="17" t="str">
        <x:v>Статья операции</x:v>
      </x:c>
      <x:c r="M4" s="17" t="str">
        <x:v>ДДС: раздел</x:v>
      </x:c>
      <x:c r="N4" s="17" t="str">
        <x:v>ДДС: строка</x:v>
      </x:c>
      <x:c r="O4" s="17" t="str">
        <x:v>ОПиУ: строка</x:v>
      </x:c>
      <x:c r="P4" s="17" t="str">
        <x:v>Проект</x:v>
      </x:c>
      <x:c r="Q4" s="17" t="str">
        <x:v>ЦФО</x:v>
      </x:c>
      <x:c r="R4" s="17" t="str">
        <x:v>Контрагент</x:v>
      </x:c>
      <x:c r="S4" s="17" t="str">
        <x:v>ИНН</x:v>
      </x:c>
      <x:c r="T4" s="17" t="str">
        <x:v>Назначение</x:v>
      </x:c>
      <x:c r="U4" s="17" t="str">
        <x:v>НДС</x:v>
      </x:c>
      <x:c r="V4" s="17" t="str">
        <x:v>Дт</x:v>
      </x:c>
      <x:c r="W4" s="17" t="str">
        <x:v>Кт</x:v>
      </x:c>
      <x:c r="X4" s="17" t="str">
        <x:v>Тип источника</x:v>
      </x:c>
      <x:c r="Y4" s="17" t="str">
        <x:v>ID источника</x:v>
      </x:c>
      <x:c r="Z4" s="17" t="str">
        <x:v>ID документа источника</x:v>
      </x:c>
      <x:c r="AA4" s="17" t="str">
        <x:v>Номер документа</x:v>
      </x:c>
      <x:c r="AB4" s="17" t="str">
        <x:v>Дата импорта</x:v>
      </x:c>
      <x:c r="AC4" s="17" t="str">
        <x:v>Статус автоматики</x:v>
      </x:c>
      <x:c r="AD4" s="17" t="str">
        <x:v>Требует уточнения</x:v>
      </x:c>
      <x:c r="AE4" s="17" t="str">
        <x:v>Комментарий</x:v>
      </x:c>
      <x:c r="AF4" s="18" t="str">
        <x:v>Балансовая статья</x:v>
      </x:c>
    </x:row>
    <x:row r="5" ht="28" customHeight="1">
      <x:c r="A5" s="49" t="str">
        <x:v>64A9F46660DDFB0E7219533C</x:v>
      </x:c>
      <x:c r="B5" s="52" t="n">
        <x:v>46237</x:v>
      </x:c>
      <x:c r="C5" s="52" t="n">
        <x:v>46237</x:v>
      </x:c>
      <x:c r="D5" s="49" t="str">
        <x:v>Денежная операция</x:v>
      </x:c>
      <x:c r="E5" s="49" t="str">
        <x:v>Поступление</x:v>
      </x:c>
      <x:c r="F5" s="55" t="n">
        <x:v>780000</x:v>
      </x:c>
      <x:c r="G5" s="55" t="n">
        <x:v>0</x:v>
      </x:c>
      <x:c r="H5" s="55" t="n">
        <x:v>780000</x:v>
      </x:c>
      <x:c r="I5" s="55" t="n">
        <x:v>780000</x:v>
      </x:c>
      <x:c r="J5" s="49" t="str">
        <x:v>RUB</x:v>
      </x:c>
      <x:c r="K5" s="49" t="str">
        <x:v>Основной счёт</x:v>
      </x:c>
      <x:c r="L5" s="49" t="str">
        <x:v>Оплата от покупателя</x:v>
      </x:c>
      <x:c r="M5" s="49" t="str">
        <x:v>Операционная деятельность</x:v>
      </x:c>
      <x:c r="N5" s="49" t="str">
        <x:v>Поступления от покупателей</x:v>
      </x:c>
      <x:c r="O5" s="49" t="str">
        <x:v>Выручка по договорам подряда</x:v>
      </x:c>
      <x:c r="P5" s="49" t="str">
        <x:v>Орион</x:v>
      </x:c>
      <x:c r="Q5" s="49" t="str">
        <x:v>ЦФО «Атлас»</x:v>
      </x:c>
      <x:c r="R5" s="49" t="str">
        <x:v>ООО «Орион Партнёр»</x:v>
      </x:c>
      <x:c r="S5" s="49" t="str">
        <x:v>5406999103</x:v>
      </x:c>
      <x:c r="T5" s="58" t="str">
        <x:v>Оплата по договору за проект Орион</x:v>
      </x:c>
      <x:c r="U5" s="49" t="str">
        <x:v>0%</x:v>
      </x:c>
      <x:c r="V5" s="49" t="str">
        <x:v>Основной счёт</x:v>
      </x:c>
      <x:c r="W5" s="49" t="str">
        <x:v>Выручка</x:v>
      </x:c>
      <x:c r="X5" s="49" t="str">
        <x:v>TBANK_XLSX</x:v>
      </x:c>
      <x:c r="Y5" s="49" t="str">
        <x:v>TBANK-5F292C4B8A</x:v>
      </x:c>
      <x:c r="Z5" s="49" t="str">
        <x:v>TBANK-5F292C4B8A-R000010</x:v>
      </x:c>
      <x:c r="AA5" s="49" t="str">
        <x:v>ТБ-0801</x:v>
      </x:c>
      <x:c r="AB5" s="49" t="str">
        <x:v>14.09.2026 13:27</x:v>
      </x:c>
      <x:c r="AC5" s="49" t="str">
        <x:v>Готово</x:v>
      </x:c>
      <x:c r="AD5" s="49" t="str">
        <x:v>Нет</x:v>
      </x:c>
      <x:c r="AE5" s="49" t="str"/>
      <x:c r="AF5" s="49" t="str">
        <x:v>Выручка</x:v>
      </x:c>
    </x:row>
    <x:row r="6" ht="28" customHeight="1">
      <x:c r="A6" s="50" t="str">
        <x:v>848D08F3CB63756957FC6757</x:v>
      </x:c>
      <x:c r="B6" s="53" t="n">
        <x:v>46239</x:v>
      </x:c>
      <x:c r="C6" s="53" t="n">
        <x:v>46239</x:v>
      </x:c>
      <x:c r="D6" s="50" t="str">
        <x:v>Денежная операция</x:v>
      </x:c>
      <x:c r="E6" s="50" t="str">
        <x:v>Списание</x:v>
      </x:c>
      <x:c r="F6" s="56" t="n">
        <x:v>0</x:v>
      </x:c>
      <x:c r="G6" s="56" t="n">
        <x:v>165000</x:v>
      </x:c>
      <x:c r="H6" s="56" t="n">
        <x:v>-165000</x:v>
      </x:c>
      <x:c r="I6" s="56" t="n">
        <x:v>165000</x:v>
      </x:c>
      <x:c r="J6" s="50" t="str">
        <x:v>RUB</x:v>
      </x:c>
      <x:c r="K6" s="50" t="str">
        <x:v>Основной счёт</x:v>
      </x:c>
      <x:c r="L6" s="50" t="str">
        <x:v>Подрядчики</x:v>
      </x:c>
      <x:c r="M6" s="50" t="str">
        <x:v>Операционная деятельность</x:v>
      </x:c>
      <x:c r="N6" s="50" t="str">
        <x:v>Оплата подрядчикам</x:v>
      </x:c>
      <x:c r="O6" s="50" t="str">
        <x:v>Подрядные работы</x:v>
      </x:c>
      <x:c r="P6" s="50" t="str">
        <x:v>Вектор</x:v>
      </x:c>
      <x:c r="Q6" s="50" t="str">
        <x:v>ЦФО «Атлас»</x:v>
      </x:c>
      <x:c r="R6" s="50" t="str">
        <x:v>ООО «Вектор Строй»</x:v>
      </x:c>
      <x:c r="S6" s="50" t="str">
        <x:v>5406999102</x:v>
      </x:c>
      <x:c r="T6" s="59" t="str">
        <x:v>Оплата подрядчику за проект Вектор</x:v>
      </x:c>
      <x:c r="U6" s="50" t="str">
        <x:v>0%</x:v>
      </x:c>
      <x:c r="V6" s="50" t="str">
        <x:v>Подрядчики</x:v>
      </x:c>
      <x:c r="W6" s="50" t="str">
        <x:v>Основной счёт</x:v>
      </x:c>
      <x:c r="X6" s="50" t="str">
        <x:v>TBANK_XLSX</x:v>
      </x:c>
      <x:c r="Y6" s="50" t="str">
        <x:v>TBANK-5F292C4B8A</x:v>
      </x:c>
      <x:c r="Z6" s="50" t="str">
        <x:v>TBANK-5F292C4B8A-R000011</x:v>
      </x:c>
      <x:c r="AA6" s="50" t="str">
        <x:v>ТБ-0802</x:v>
      </x:c>
      <x:c r="AB6" s="50" t="str">
        <x:v>14.09.2026 13:27</x:v>
      </x:c>
      <x:c r="AC6" s="50" t="str">
        <x:v>Готово</x:v>
      </x:c>
      <x:c r="AD6" s="50" t="str">
        <x:v>Нет</x:v>
      </x:c>
      <x:c r="AE6" s="50" t="str"/>
      <x:c r="AF6" s="50" t="str">
        <x:v>Подрядчики</x:v>
      </x:c>
    </x:row>
    <x:row r="7" ht="28" customHeight="1">
      <x:c r="A7" s="50" t="str">
        <x:v>87F28835A6BFC9EB9730D555</x:v>
      </x:c>
      <x:c r="B7" s="53" t="n">
        <x:v>46240</x:v>
      </x:c>
      <x:c r="C7" s="53" t="n">
        <x:v>46240</x:v>
      </x:c>
      <x:c r="D7" s="50" t="str">
        <x:v>Денежная операция</x:v>
      </x:c>
      <x:c r="E7" s="50" t="str">
        <x:v>Списание</x:v>
      </x:c>
      <x:c r="F7" s="56" t="n">
        <x:v>0</x:v>
      </x:c>
      <x:c r="G7" s="56" t="n">
        <x:v>2900</x:v>
      </x:c>
      <x:c r="H7" s="56" t="n">
        <x:v>-2900</x:v>
      </x:c>
      <x:c r="I7" s="56" t="n">
        <x:v>2900</x:v>
      </x:c>
      <x:c r="J7" s="50" t="str">
        <x:v>RUB</x:v>
      </x:c>
      <x:c r="K7" s="50" t="str">
        <x:v>Основной счёт</x:v>
      </x:c>
      <x:c r="L7" s="50" t="str">
        <x:v>Банковское обслуживание</x:v>
      </x:c>
      <x:c r="M7" s="50" t="str">
        <x:v>Операционная деятельность</x:v>
      </x:c>
      <x:c r="N7" s="50" t="str">
        <x:v>Банковское обслуживание</x:v>
      </x:c>
      <x:c r="O7" s="50" t="str">
        <x:v>Расчетно-кассовое обслуживание</x:v>
      </x:c>
      <x:c r="P7" s="50" t="str">
        <x:v>Общий</x:v>
      </x:c>
      <x:c r="Q7" s="50" t="str">
        <x:v>ЦФО «Атлас»</x:v>
      </x:c>
      <x:c r="R7" s="50" t="str">
        <x:v>ООО «Северный мост»</x:v>
      </x:c>
      <x:c r="S7" s="50" t="str">
        <x:v>5406999101</x:v>
      </x:c>
      <x:c r="T7" s="59" t="str">
        <x:v>Комиссия банка за расчетное обслуживание</x:v>
      </x:c>
      <x:c r="U7" s="50" t="str">
        <x:v>0%</x:v>
      </x:c>
      <x:c r="V7" s="50" t="str">
        <x:v>Операционные расходы</x:v>
      </x:c>
      <x:c r="W7" s="50" t="str">
        <x:v>Основной счёт</x:v>
      </x:c>
      <x:c r="X7" s="50" t="str">
        <x:v>TBANK_XLSX</x:v>
      </x:c>
      <x:c r="Y7" s="50" t="str">
        <x:v>TBANK-5F292C4B8A</x:v>
      </x:c>
      <x:c r="Z7" s="50" t="str">
        <x:v>TBANK-5F292C4B8A-R000012</x:v>
      </x:c>
      <x:c r="AA7" s="50" t="str">
        <x:v>ТБ-0803</x:v>
      </x:c>
      <x:c r="AB7" s="50" t="str">
        <x:v>14.09.2026 13:27</x:v>
      </x:c>
      <x:c r="AC7" s="50" t="str">
        <x:v>Готово</x:v>
      </x:c>
      <x:c r="AD7" s="50" t="str">
        <x:v>Нет</x:v>
      </x:c>
      <x:c r="AE7" s="50" t="str"/>
      <x:c r="AF7" s="50" t="str">
        <x:v>Операционные расходы</x:v>
      </x:c>
    </x:row>
    <x:row r="8" ht="28" customHeight="1">
      <x:c r="A8" s="50" t="str">
        <x:v>883E3B3E45B14F0D252B5D2A</x:v>
      </x:c>
      <x:c r="B8" s="53" t="n">
        <x:v>46242</x:v>
      </x:c>
      <x:c r="C8" s="53" t="n">
        <x:v>46242</x:v>
      </x:c>
      <x:c r="D8" s="50" t="str">
        <x:v>Денежная операция</x:v>
      </x:c>
      <x:c r="E8" s="50" t="str">
        <x:v>Списание</x:v>
      </x:c>
      <x:c r="F8" s="56" t="n">
        <x:v>0</x:v>
      </x:c>
      <x:c r="G8" s="56" t="n">
        <x:v>125000</x:v>
      </x:c>
      <x:c r="H8" s="56" t="n">
        <x:v>-125000</x:v>
      </x:c>
      <x:c r="I8" s="56" t="n">
        <x:v>125000</x:v>
      </x:c>
      <x:c r="J8" s="50" t="str">
        <x:v>RUB</x:v>
      </x:c>
      <x:c r="K8" s="50" t="str">
        <x:v>Основной счёт</x:v>
      </x:c>
      <x:c r="L8" s="50" t="str">
        <x:v>Аренда</x:v>
      </x:c>
      <x:c r="M8" s="50" t="str">
        <x:v>Операционная деятельность</x:v>
      </x:c>
      <x:c r="N8" s="50" t="str">
        <x:v>Аренда помещений</x:v>
      </x:c>
      <x:c r="O8" s="50" t="str">
        <x:v>Аренда офисов</x:v>
      </x:c>
      <x:c r="P8" s="50" t="str">
        <x:v>Общий</x:v>
      </x:c>
      <x:c r="Q8" s="50" t="str">
        <x:v>ЦФО «Атлас»</x:v>
      </x:c>
      <x:c r="R8" s="50" t="str">
        <x:v>ООО «Деловой квартал»</x:v>
      </x:c>
      <x:c r="S8" s="50" t="str">
        <x:v>5406999104</x:v>
      </x:c>
      <x:c r="T8" s="59" t="str">
        <x:v>Аренда офиса за август</x:v>
      </x:c>
      <x:c r="U8" s="50" t="str">
        <x:v>0%</x:v>
      </x:c>
      <x:c r="V8" s="50" t="str">
        <x:v>Операционные расходы</x:v>
      </x:c>
      <x:c r="W8" s="50" t="str">
        <x:v>Основной счёт</x:v>
      </x:c>
      <x:c r="X8" s="50" t="str">
        <x:v>TBANK_XLSX</x:v>
      </x:c>
      <x:c r="Y8" s="50" t="str">
        <x:v>TBANK-5F292C4B8A</x:v>
      </x:c>
      <x:c r="Z8" s="50" t="str">
        <x:v>TBANK-5F292C4B8A-R000013</x:v>
      </x:c>
      <x:c r="AA8" s="50" t="str">
        <x:v>ТБ-0804</x:v>
      </x:c>
      <x:c r="AB8" s="50" t="str">
        <x:v>14.09.2026 13:27</x:v>
      </x:c>
      <x:c r="AC8" s="50" t="str">
        <x:v>Готово</x:v>
      </x:c>
      <x:c r="AD8" s="50" t="str">
        <x:v>Нет</x:v>
      </x:c>
      <x:c r="AE8" s="50" t="str"/>
      <x:c r="AF8" s="50" t="str">
        <x:v>Операционные расходы</x:v>
      </x:c>
    </x:row>
    <x:row r="9" ht="28" customHeight="1">
      <x:c r="A9" s="50" t="str">
        <x:v>F14568E0342A209F911E62F9</x:v>
      </x:c>
      <x:c r="B9" s="53" t="n">
        <x:v>46246</x:v>
      </x:c>
      <x:c r="C9" s="53" t="n">
        <x:v>46246</x:v>
      </x:c>
      <x:c r="D9" s="50" t="str">
        <x:v>Денежная операция</x:v>
      </x:c>
      <x:c r="E9" s="50" t="str">
        <x:v>Списание</x:v>
      </x:c>
      <x:c r="F9" s="56" t="n">
        <x:v>0</x:v>
      </x:c>
      <x:c r="G9" s="56" t="n">
        <x:v>310000</x:v>
      </x:c>
      <x:c r="H9" s="56" t="n">
        <x:v>-310000</x:v>
      </x:c>
      <x:c r="I9" s="56" t="n">
        <x:v>310000</x:v>
      </x:c>
      <x:c r="J9" s="50" t="str">
        <x:v>RUB</x:v>
      </x:c>
      <x:c r="K9" s="50" t="str">
        <x:v>Основной счёт</x:v>
      </x:c>
      <x:c r="L9" s="50" t="str">
        <x:v>Зарплата</x:v>
      </x:c>
      <x:c r="M9" s="50" t="str">
        <x:v>Операционная деятельность</x:v>
      </x:c>
      <x:c r="N9" s="50" t="str">
        <x:v>Заработная плата</x:v>
      </x:c>
      <x:c r="O9" s="50" t="str">
        <x:v>Окладные выплаты</x:v>
      </x:c>
      <x:c r="P9" s="50" t="str">
        <x:v>Общий</x:v>
      </x:c>
      <x:c r="Q9" s="50" t="str">
        <x:v>ЦФО «Атлас»</x:v>
      </x:c>
      <x:c r="R9" s="50" t="str">
        <x:v>Зарплатный реестр</x:v>
      </x:c>
      <x:c r="S9" s="50" t="str">
        <x:v>5406999105</x:v>
      </x:c>
      <x:c r="T9" s="59" t="str">
        <x:v>Заработная плата за август</x:v>
      </x:c>
      <x:c r="U9" s="50" t="str">
        <x:v>0%</x:v>
      </x:c>
      <x:c r="V9" s="50" t="str">
        <x:v>Фонд оплаты труда</x:v>
      </x:c>
      <x:c r="W9" s="50" t="str">
        <x:v>Основной счёт</x:v>
      </x:c>
      <x:c r="X9" s="50" t="str">
        <x:v>TBANK_XLSX</x:v>
      </x:c>
      <x:c r="Y9" s="50" t="str">
        <x:v>TBANK-5F292C4B8A</x:v>
      </x:c>
      <x:c r="Z9" s="50" t="str">
        <x:v>TBANK-5F292C4B8A-R000014</x:v>
      </x:c>
      <x:c r="AA9" s="50" t="str">
        <x:v>ТБ-0805</x:v>
      </x:c>
      <x:c r="AB9" s="50" t="str">
        <x:v>14.09.2026 13:27</x:v>
      </x:c>
      <x:c r="AC9" s="50" t="str">
        <x:v>Готово</x:v>
      </x:c>
      <x:c r="AD9" s="50" t="str">
        <x:v>Нет</x:v>
      </x:c>
      <x:c r="AE9" s="50" t="str"/>
      <x:c r="AF9" s="50" t="str">
        <x:v>Фонд оплаты труда</x:v>
      </x:c>
    </x:row>
    <x:row r="10" ht="28" customHeight="1">
      <x:c r="A10" s="50" t="str">
        <x:v>7AE28EA11B3A7314A0718580</x:v>
      </x:c>
      <x:c r="B10" s="53" t="n">
        <x:v>46250</x:v>
      </x:c>
      <x:c r="C10" s="53" t="n">
        <x:v>46250</x:v>
      </x:c>
      <x:c r="D10" s="50" t="str">
        <x:v>Денежная операция</x:v>
      </x:c>
      <x:c r="E10" s="50" t="str">
        <x:v>Поступление</x:v>
      </x:c>
      <x:c r="F10" s="56" t="n">
        <x:v>420000</x:v>
      </x:c>
      <x:c r="G10" s="56" t="n">
        <x:v>0</x:v>
      </x:c>
      <x:c r="H10" s="56" t="n">
        <x:v>420000</x:v>
      </x:c>
      <x:c r="I10" s="56" t="n">
        <x:v>420000</x:v>
      </x:c>
      <x:c r="J10" s="50" t="str">
        <x:v>RUB</x:v>
      </x:c>
      <x:c r="K10" s="50" t="str">
        <x:v>Основной счёт</x:v>
      </x:c>
      <x:c r="L10" s="50" t="str">
        <x:v>Аванс от покупателя</x:v>
      </x:c>
      <x:c r="M10" s="50" t="str">
        <x:v>Операционная деятельность</x:v>
      </x:c>
      <x:c r="N10" s="50" t="str">
        <x:v>Авансы покупателей</x:v>
      </x:c>
      <x:c r="O10" s="50" t="str"/>
      <x:c r="P10" s="50" t="str">
        <x:v>Вектор</x:v>
      </x:c>
      <x:c r="Q10" s="50" t="str">
        <x:v>ЦФО «Атлас»</x:v>
      </x:c>
      <x:c r="R10" s="50" t="str">
        <x:v>ООО «Вектор Строй»</x:v>
      </x:c>
      <x:c r="S10" s="50" t="str">
        <x:v>5406999102</x:v>
      </x:c>
      <x:c r="T10" s="59" t="str">
        <x:v>Аванс по договору за проект Вектор</x:v>
      </x:c>
      <x:c r="U10" s="50" t="str">
        <x:v>0%</x:v>
      </x:c>
      <x:c r="V10" s="50" t="str">
        <x:v>Основной счёт</x:v>
      </x:c>
      <x:c r="W10" s="50" t="str">
        <x:v>Авансы полученные</x:v>
      </x:c>
      <x:c r="X10" s="50" t="str">
        <x:v>TBANK_XLSX</x:v>
      </x:c>
      <x:c r="Y10" s="50" t="str">
        <x:v>TBANK-5F292C4B8A</x:v>
      </x:c>
      <x:c r="Z10" s="50" t="str">
        <x:v>TBANK-5F292C4B8A-R000015</x:v>
      </x:c>
      <x:c r="AA10" s="50" t="str">
        <x:v>ТБ-0806</x:v>
      </x:c>
      <x:c r="AB10" s="50" t="str">
        <x:v>14.09.2026 13:27</x:v>
      </x:c>
      <x:c r="AC10" s="50" t="str">
        <x:v>Готово</x:v>
      </x:c>
      <x:c r="AD10" s="50" t="str">
        <x:v>Нет</x:v>
      </x:c>
      <x:c r="AE10" s="50" t="str"/>
      <x:c r="AF10" s="50" t="str">
        <x:v>Авансы полученные</x:v>
      </x:c>
    </x:row>
    <x:row r="11" ht="28" customHeight="1">
      <x:c r="A11" s="50" t="str">
        <x:v>F31683A181A21800D2A16FAB</x:v>
      </x:c>
      <x:c r="B11" s="53" t="n">
        <x:v>46254</x:v>
      </x:c>
      <x:c r="C11" s="53" t="n">
        <x:v>46254</x:v>
      </x:c>
      <x:c r="D11" s="50" t="str">
        <x:v>Денежная операция</x:v>
      </x:c>
      <x:c r="E11" s="50" t="str">
        <x:v>Списание</x:v>
      </x:c>
      <x:c r="F11" s="56" t="n">
        <x:v>0</x:v>
      </x:c>
      <x:c r="G11" s="56" t="n">
        <x:v>87000</x:v>
      </x:c>
      <x:c r="H11" s="56" t="n">
        <x:v>-87000</x:v>
      </x:c>
      <x:c r="I11" s="56" t="n">
        <x:v>87000</x:v>
      </x:c>
      <x:c r="J11" s="50" t="str">
        <x:v>RUB</x:v>
      </x:c>
      <x:c r="K11" s="50" t="str">
        <x:v>Основной счёт</x:v>
      </x:c>
      <x:c r="L11" s="50" t="str">
        <x:v>Материалы</x:v>
      </x:c>
      <x:c r="M11" s="50" t="str">
        <x:v>Операционная деятельность</x:v>
      </x:c>
      <x:c r="N11" s="50" t="str">
        <x:v>Оплата материалов</x:v>
      </x:c>
      <x:c r="O11" s="50" t="str">
        <x:v>Строительные материалы</x:v>
      </x:c>
      <x:c r="P11" s="50" t="str">
        <x:v>Орион</x:v>
      </x:c>
      <x:c r="Q11" s="50" t="str">
        <x:v>ЦФО «Атлас»</x:v>
      </x:c>
      <x:c r="R11" s="50" t="str">
        <x:v>ООО «Комплект Плюс»</x:v>
      </x:c>
      <x:c r="S11" s="50" t="str">
        <x:v>5406999111</x:v>
      </x:c>
      <x:c r="T11" s="59" t="str">
        <x:v>Оплата материалов за проект Орион</x:v>
      </x:c>
      <x:c r="U11" s="50" t="str">
        <x:v>0%</x:v>
      </x:c>
      <x:c r="V11" s="50" t="str">
        <x:v>Материалы</x:v>
      </x:c>
      <x:c r="W11" s="50" t="str">
        <x:v>Основной счёт</x:v>
      </x:c>
      <x:c r="X11" s="50" t="str">
        <x:v>TBANK_XLSX</x:v>
      </x:c>
      <x:c r="Y11" s="50" t="str">
        <x:v>TBANK-5F292C4B8A</x:v>
      </x:c>
      <x:c r="Z11" s="50" t="str">
        <x:v>TBANK-5F292C4B8A-R000016</x:v>
      </x:c>
      <x:c r="AA11" s="50" t="str">
        <x:v>ТБ-0807</x:v>
      </x:c>
      <x:c r="AB11" s="50" t="str">
        <x:v>14.09.2026 13:27</x:v>
      </x:c>
      <x:c r="AC11" s="50" t="str">
        <x:v>Готово</x:v>
      </x:c>
      <x:c r="AD11" s="50" t="str">
        <x:v>Нет</x:v>
      </x:c>
      <x:c r="AE11" s="50" t="str"/>
      <x:c r="AF11" s="50" t="str">
        <x:v>Материалы</x:v>
      </x:c>
    </x:row>
    <x:row r="12" ht="28" customHeight="1">
      <x:c r="A12" s="50" t="str">
        <x:v>461FEFBD77D5C5A5A1EA8587</x:v>
      </x:c>
      <x:c r="B12" s="53" t="n">
        <x:v>46261</x:v>
      </x:c>
      <x:c r="C12" s="53" t="n">
        <x:v>46261</x:v>
      </x:c>
      <x:c r="D12" s="50" t="str">
        <x:v>Денежная операция</x:v>
      </x:c>
      <x:c r="E12" s="50" t="str">
        <x:v>Поступление</x:v>
      </x:c>
      <x:c r="F12" s="56" t="n">
        <x:v>600000</x:v>
      </x:c>
      <x:c r="G12" s="56" t="n">
        <x:v>0</x:v>
      </x:c>
      <x:c r="H12" s="56" t="n">
        <x:v>600000</x:v>
      </x:c>
      <x:c r="I12" s="56" t="n">
        <x:v>600000</x:v>
      </x:c>
      <x:c r="J12" s="50" t="str">
        <x:v>RUB</x:v>
      </x:c>
      <x:c r="K12" s="50" t="str">
        <x:v>Основной счёт</x:v>
      </x:c>
      <x:c r="L12" s="50" t="str">
        <x:v>Получение кредита/займа</x:v>
      </x:c>
      <x:c r="M12" s="50" t="str">
        <x:v>Финансовая деятельность</x:v>
      </x:c>
      <x:c r="N12" s="50" t="str">
        <x:v>Получение кредитов и займов</x:v>
      </x:c>
      <x:c r="O12" s="50" t="str"/>
      <x:c r="P12" s="50" t="str">
        <x:v>Общий</x:v>
      </x:c>
      <x:c r="Q12" s="50" t="str">
        <x:v>ЦФО «Атлас»</x:v>
      </x:c>
      <x:c r="R12" s="50" t="str">
        <x:v>АО «Капитал Банк»</x:v>
      </x:c>
      <x:c r="S12" s="50" t="str">
        <x:v>5406999112</x:v>
      </x:c>
      <x:c r="T12" s="59" t="str">
        <x:v>Получение кредита</x:v>
      </x:c>
      <x:c r="U12" s="50" t="str">
        <x:v>0%</x:v>
      </x:c>
      <x:c r="V12" s="50" t="str">
        <x:v>Основной счёт</x:v>
      </x:c>
      <x:c r="W12" s="50" t="str">
        <x:v>Займы</x:v>
      </x:c>
      <x:c r="X12" s="50" t="str">
        <x:v>TBANK_XLSX</x:v>
      </x:c>
      <x:c r="Y12" s="50" t="str">
        <x:v>TBANK-5F292C4B8A</x:v>
      </x:c>
      <x:c r="Z12" s="50" t="str">
        <x:v>TBANK-5F292C4B8A-R000017</x:v>
      </x:c>
      <x:c r="AA12" s="50" t="str">
        <x:v>ТБ-0808</x:v>
      </x:c>
      <x:c r="AB12" s="50" t="str">
        <x:v>14.09.2026 13:27</x:v>
      </x:c>
      <x:c r="AC12" s="50" t="str">
        <x:v>Готово</x:v>
      </x:c>
      <x:c r="AD12" s="50" t="str">
        <x:v>Нет</x:v>
      </x:c>
      <x:c r="AE12" s="50" t="str"/>
      <x:c r="AF12" s="50" t="str">
        <x:v>Займы</x:v>
      </x:c>
    </x:row>
    <x:row r="13" ht="28" customHeight="1">
      <x:c r="A13" s="50" t="str">
        <x:v>BF226BED85C7CEB8A10A4656</x:v>
      </x:c>
      <x:c r="B13" s="53" t="n">
        <x:v>46236</x:v>
      </x:c>
      <x:c r="C13" s="53" t="n">
        <x:v>46236</x:v>
      </x:c>
      <x:c r="D13" s="50" t="str">
        <x:v>Денежная операция</x:v>
      </x:c>
      <x:c r="E13" s="50" t="str">
        <x:v>Списание</x:v>
      </x:c>
      <x:c r="F13" s="56" t="n">
        <x:v>0</x:v>
      </x:c>
      <x:c r="G13" s="56" t="n">
        <x:v>142000</x:v>
      </x:c>
      <x:c r="H13" s="56" t="n">
        <x:v>-142000</x:v>
      </x:c>
      <x:c r="I13" s="56" t="n">
        <x:v>142000</x:v>
      </x:c>
      <x:c r="J13" s="50" t="str">
        <x:v>RUB</x:v>
      </x:c>
      <x:c r="K13" s="50" t="str">
        <x:v>Дополнительный счёт</x:v>
      </x:c>
      <x:c r="L13" s="50" t="str">
        <x:v>Подрядчики</x:v>
      </x:c>
      <x:c r="M13" s="50" t="str">
        <x:v>Операционная деятельность</x:v>
      </x:c>
      <x:c r="N13" s="50" t="str">
        <x:v>Оплата подрядчикам</x:v>
      </x:c>
      <x:c r="O13" s="50" t="str">
        <x:v>Подрядные работы</x:v>
      </x:c>
      <x:c r="P13" s="50" t="str">
        <x:v>Орион</x:v>
      </x:c>
      <x:c r="Q13" s="50" t="str">
        <x:v>ЦФО «Атлас»</x:v>
      </x:c>
      <x:c r="R13" s="50" t="str">
        <x:v>ООО «Орион Партнёр»</x:v>
      </x:c>
      <x:c r="S13" s="50" t="str">
        <x:v>5406999103</x:v>
      </x:c>
      <x:c r="T13" s="59" t="str">
        <x:v>Оплата подрядчику за проект Орион</x:v>
      </x:c>
      <x:c r="U13" s="50" t="str">
        <x:v>0%</x:v>
      </x:c>
      <x:c r="V13" s="50" t="str">
        <x:v>Подрядчики</x:v>
      </x:c>
      <x:c r="W13" s="50" t="str">
        <x:v>Дополнительный счёт</x:v>
      </x:c>
      <x:c r="X13" s="50" t="str">
        <x:v>ALFA_XLSX</x:v>
      </x:c>
      <x:c r="Y13" s="50" t="str">
        <x:v>ALFA-9F1125AAC7</x:v>
      </x:c>
      <x:c r="Z13" s="50" t="str">
        <x:v>ALFA-9F1125AAC7-R000013</x:v>
      </x:c>
      <x:c r="AA13" s="50" t="str">
        <x:v>АБ-0801</x:v>
      </x:c>
      <x:c r="AB13" s="50" t="str">
        <x:v>14.09.2026 13:27</x:v>
      </x:c>
      <x:c r="AC13" s="50" t="str">
        <x:v>Готово</x:v>
      </x:c>
      <x:c r="AD13" s="50" t="str">
        <x:v>Нет</x:v>
      </x:c>
      <x:c r="AE13" s="50" t="str"/>
      <x:c r="AF13" s="50" t="str">
        <x:v>Подрядчики</x:v>
      </x:c>
    </x:row>
    <x:row r="14" ht="28" customHeight="1">
      <x:c r="A14" s="50" t="str">
        <x:v>742A503C583E084EF451DABE</x:v>
      </x:c>
      <x:c r="B14" s="53" t="n">
        <x:v>46238</x:v>
      </x:c>
      <x:c r="C14" s="53" t="n">
        <x:v>46238</x:v>
      </x:c>
      <x:c r="D14" s="50" t="str">
        <x:v>Денежная операция</x:v>
      </x:c>
      <x:c r="E14" s="50" t="str">
        <x:v>Списание</x:v>
      </x:c>
      <x:c r="F14" s="56" t="n">
        <x:v>0</x:v>
      </x:c>
      <x:c r="G14" s="56" t="n">
        <x:v>95000</x:v>
      </x:c>
      <x:c r="H14" s="56" t="n">
        <x:v>-95000</x:v>
      </x:c>
      <x:c r="I14" s="56" t="n">
        <x:v>95000</x:v>
      </x:c>
      <x:c r="J14" s="50" t="str">
        <x:v>RUB</x:v>
      </x:c>
      <x:c r="K14" s="50" t="str">
        <x:v>Дополнительный счёт</x:v>
      </x:c>
      <x:c r="L14" s="50" t="str">
        <x:v>Аванс поставщику</x:v>
      </x:c>
      <x:c r="M14" s="50" t="str">
        <x:v>Операционная деятельность</x:v>
      </x:c>
      <x:c r="N14" s="50" t="str">
        <x:v>Авансы поставщикам</x:v>
      </x:c>
      <x:c r="O14" s="50" t="str"/>
      <x:c r="P14" s="50" t="str">
        <x:v>Вектор</x:v>
      </x:c>
      <x:c r="Q14" s="50" t="str">
        <x:v>ЦФО «Атлас»</x:v>
      </x:c>
      <x:c r="R14" s="50" t="str">
        <x:v>ООО «Комплект Плюс»</x:v>
      </x:c>
      <x:c r="S14" s="50" t="str">
        <x:v>5406999111</x:v>
      </x:c>
      <x:c r="T14" s="59" t="str">
        <x:v>Аванс поставщику за проект Вектор</x:v>
      </x:c>
      <x:c r="U14" s="50" t="str">
        <x:v>0%</x:v>
      </x:c>
      <x:c r="V14" s="50" t="str">
        <x:v>Авансы выданные</x:v>
      </x:c>
      <x:c r="W14" s="50" t="str">
        <x:v>Дополнительный счёт</x:v>
      </x:c>
      <x:c r="X14" s="50" t="str">
        <x:v>ALFA_XLSX</x:v>
      </x:c>
      <x:c r="Y14" s="50" t="str">
        <x:v>ALFA-9F1125AAC7</x:v>
      </x:c>
      <x:c r="Z14" s="50" t="str">
        <x:v>ALFA-9F1125AAC7-R000014</x:v>
      </x:c>
      <x:c r="AA14" s="50" t="str">
        <x:v>АБ-0802</x:v>
      </x:c>
      <x:c r="AB14" s="50" t="str">
        <x:v>14.09.2026 13:27</x:v>
      </x:c>
      <x:c r="AC14" s="50" t="str">
        <x:v>Готово</x:v>
      </x:c>
      <x:c r="AD14" s="50" t="str">
        <x:v>Нет</x:v>
      </x:c>
      <x:c r="AE14" s="50" t="str"/>
      <x:c r="AF14" s="50" t="str">
        <x:v>Авансы выданные</x:v>
      </x:c>
    </x:row>
    <x:row r="15" ht="28" customHeight="1">
      <x:c r="A15" s="50" t="str">
        <x:v>54D98DB759B783188FB2C375</x:v>
      </x:c>
      <x:c r="B15" s="53" t="n">
        <x:v>46241</x:v>
      </x:c>
      <x:c r="C15" s="53" t="n">
        <x:v>46241</x:v>
      </x:c>
      <x:c r="D15" s="50" t="str">
        <x:v>Денежная операция</x:v>
      </x:c>
      <x:c r="E15" s="50" t="str">
        <x:v>Списание</x:v>
      </x:c>
      <x:c r="F15" s="56" t="n">
        <x:v>0</x:v>
      </x:c>
      <x:c r="G15" s="56" t="n">
        <x:v>67000</x:v>
      </x:c>
      <x:c r="H15" s="56" t="n">
        <x:v>-67000</x:v>
      </x:c>
      <x:c r="I15" s="56" t="n">
        <x:v>67000</x:v>
      </x:c>
      <x:c r="J15" s="50" t="str">
        <x:v>RUB</x:v>
      </x:c>
      <x:c r="K15" s="50" t="str">
        <x:v>Дополнительный счёт</x:v>
      </x:c>
      <x:c r="L15" s="50" t="str">
        <x:v>Налоги/взыскания</x:v>
      </x:c>
      <x:c r="M15" s="50" t="str">
        <x:v>Операционная деятельность</x:v>
      </x:c>
      <x:c r="N15" s="50" t="str">
        <x:v>Прочие налоги и сборы</x:v>
      </x:c>
      <x:c r="O15" s="50" t="str">
        <x:v>Прочие налоги, сборы, штрафы</x:v>
      </x:c>
      <x:c r="P15" s="50" t="str">
        <x:v>Общий</x:v>
      </x:c>
      <x:c r="Q15" s="50" t="str">
        <x:v>ЦФО «Атлас»</x:v>
      </x:c>
      <x:c r="R15" s="50" t="str">
        <x:v>УФК по Новосибирской области</x:v>
      </x:c>
      <x:c r="S15" s="50" t="str">
        <x:v>5406999106</x:v>
      </x:c>
      <x:c r="T15" s="59" t="str">
        <x:v>Налоговый платеж</x:v>
      </x:c>
      <x:c r="U15" s="50" t="str">
        <x:v>0%</x:v>
      </x:c>
      <x:c r="V15" s="50" t="str">
        <x:v>Налоги и взыскания</x:v>
      </x:c>
      <x:c r="W15" s="50" t="str">
        <x:v>Дополнительный счёт</x:v>
      </x:c>
      <x:c r="X15" s="50" t="str">
        <x:v>ALFA_XLSX</x:v>
      </x:c>
      <x:c r="Y15" s="50" t="str">
        <x:v>ALFA-9F1125AAC7</x:v>
      </x:c>
      <x:c r="Z15" s="50" t="str">
        <x:v>ALFA-9F1125AAC7-R000015</x:v>
      </x:c>
      <x:c r="AA15" s="50" t="str">
        <x:v>АБ-0803</x:v>
      </x:c>
      <x:c r="AB15" s="50" t="str">
        <x:v>14.09.2026 13:27</x:v>
      </x:c>
      <x:c r="AC15" s="50" t="str">
        <x:v>Готово</x:v>
      </x:c>
      <x:c r="AD15" s="50" t="str">
        <x:v>Нет</x:v>
      </x:c>
      <x:c r="AE15" s="50" t="str"/>
      <x:c r="AF15" s="50" t="str">
        <x:v>Налоги и взыскания</x:v>
      </x:c>
    </x:row>
    <x:row r="16" ht="28" customHeight="1">
      <x:c r="A16" s="50" t="str">
        <x:v>38FF0BE2167BAEBF893CAC31</x:v>
      </x:c>
      <x:c r="B16" s="53" t="n">
        <x:v>46244</x:v>
      </x:c>
      <x:c r="C16" s="53" t="n">
        <x:v>46244</x:v>
      </x:c>
      <x:c r="D16" s="50" t="str">
        <x:v>Денежная операция</x:v>
      </x:c>
      <x:c r="E16" s="50" t="str">
        <x:v>Списание</x:v>
      </x:c>
      <x:c r="F16" s="56" t="n">
        <x:v>0</x:v>
      </x:c>
      <x:c r="G16" s="56" t="n">
        <x:v>48000</x:v>
      </x:c>
      <x:c r="H16" s="56" t="n">
        <x:v>-48000</x:v>
      </x:c>
      <x:c r="I16" s="56" t="n">
        <x:v>48000</x:v>
      </x:c>
      <x:c r="J16" s="50" t="str">
        <x:v>RUB</x:v>
      </x:c>
      <x:c r="K16" s="50" t="str">
        <x:v>Дополнительный счёт</x:v>
      </x:c>
      <x:c r="L16" s="50" t="str">
        <x:v>Маркетинг</x:v>
      </x:c>
      <x:c r="M16" s="50" t="str">
        <x:v>Операционная деятельность</x:v>
      </x:c>
      <x:c r="N16" s="50" t="str">
        <x:v>Маркетинг и реклама</x:v>
      </x:c>
      <x:c r="O16" s="50" t="str">
        <x:v>Реклама в интернете</x:v>
      </x:c>
      <x:c r="P16" s="50" t="str">
        <x:v>Вектор</x:v>
      </x:c>
      <x:c r="Q16" s="50" t="str">
        <x:v>ЦФО «Атлас»</x:v>
      </x:c>
      <x:c r="R16" s="50" t="str">
        <x:v>ООО «Маяк Медиа»</x:v>
      </x:c>
      <x:c r="S16" s="50" t="str">
        <x:v>5406999107</x:v>
      </x:c>
      <x:c r="T16" s="59" t="str">
        <x:v>Продвижение проекта Вектор</x:v>
      </x:c>
      <x:c r="U16" s="50" t="str">
        <x:v>0%</x:v>
      </x:c>
      <x:c r="V16" s="50" t="str">
        <x:v>Маркетинг</x:v>
      </x:c>
      <x:c r="W16" s="50" t="str">
        <x:v>Дополнительный счёт</x:v>
      </x:c>
      <x:c r="X16" s="50" t="str">
        <x:v>ALFA_XLSX</x:v>
      </x:c>
      <x:c r="Y16" s="50" t="str">
        <x:v>ALFA-9F1125AAC7</x:v>
      </x:c>
      <x:c r="Z16" s="50" t="str">
        <x:v>ALFA-9F1125AAC7-R000016</x:v>
      </x:c>
      <x:c r="AA16" s="50" t="str">
        <x:v>АБ-0804</x:v>
      </x:c>
      <x:c r="AB16" s="50" t="str">
        <x:v>14.09.2026 13:27</x:v>
      </x:c>
      <x:c r="AC16" s="50" t="str">
        <x:v>Готово</x:v>
      </x:c>
      <x:c r="AD16" s="50" t="str">
        <x:v>Нет</x:v>
      </x:c>
      <x:c r="AE16" s="50" t="str"/>
      <x:c r="AF16" s="50" t="str">
        <x:v>Маркетинг</x:v>
      </x:c>
    </x:row>
    <x:row r="17" ht="28" customHeight="1">
      <x:c r="A17" s="50" t="str">
        <x:v>E34B6D8DAF431479F270403B</x:v>
      </x:c>
      <x:c r="B17" s="53" t="n">
        <x:v>46247</x:v>
      </x:c>
      <x:c r="C17" s="53" t="n">
        <x:v>46247</x:v>
      </x:c>
      <x:c r="D17" s="50" t="str">
        <x:v>Денежная операция</x:v>
      </x:c>
      <x:c r="E17" s="50" t="str">
        <x:v>Списание</x:v>
      </x:c>
      <x:c r="F17" s="56" t="n">
        <x:v>0</x:v>
      </x:c>
      <x:c r="G17" s="56" t="n">
        <x:v>18500</x:v>
      </x:c>
      <x:c r="H17" s="56" t="n">
        <x:v>-18500</x:v>
      </x:c>
      <x:c r="I17" s="56" t="n">
        <x:v>18500</x:v>
      </x:c>
      <x:c r="J17" s="50" t="str">
        <x:v>RUB</x:v>
      </x:c>
      <x:c r="K17" s="50" t="str">
        <x:v>Дополнительный счёт</x:v>
      </x:c>
      <x:c r="L17" s="50" t="str">
        <x:v>Связь и интернет</x:v>
      </x:c>
      <x:c r="M17" s="50" t="str">
        <x:v>Операционная деятельность</x:v>
      </x:c>
      <x:c r="N17" s="50" t="str">
        <x:v>Связь и интернет</x:v>
      </x:c>
      <x:c r="O17" s="50" t="str">
        <x:v>Расходы на интернет</x:v>
      </x:c>
      <x:c r="P17" s="50" t="str">
        <x:v>Общий</x:v>
      </x:c>
      <x:c r="Q17" s="50" t="str">
        <x:v>ЦФО «Атлас»</x:v>
      </x:c>
      <x:c r="R17" s="50" t="str">
        <x:v>ООО «Линия Связи»</x:v>
      </x:c>
      <x:c r="S17" s="50" t="str">
        <x:v>5406999108</x:v>
      </x:c>
      <x:c r="T17" s="59" t="str">
        <x:v>Услуги связи и интернета</x:v>
      </x:c>
      <x:c r="U17" s="50" t="str">
        <x:v>0%</x:v>
      </x:c>
      <x:c r="V17" s="50" t="str">
        <x:v>Операционные расходы</x:v>
      </x:c>
      <x:c r="W17" s="50" t="str">
        <x:v>Дополнительный счёт</x:v>
      </x:c>
      <x:c r="X17" s="50" t="str">
        <x:v>ALFA_XLSX</x:v>
      </x:c>
      <x:c r="Y17" s="50" t="str">
        <x:v>ALFA-9F1125AAC7</x:v>
      </x:c>
      <x:c r="Z17" s="50" t="str">
        <x:v>ALFA-9F1125AAC7-R000017</x:v>
      </x:c>
      <x:c r="AA17" s="50" t="str">
        <x:v>АБ-0805</x:v>
      </x:c>
      <x:c r="AB17" s="50" t="str">
        <x:v>14.09.2026 13:27</x:v>
      </x:c>
      <x:c r="AC17" s="50" t="str">
        <x:v>Готово</x:v>
      </x:c>
      <x:c r="AD17" s="50" t="str">
        <x:v>Нет</x:v>
      </x:c>
      <x:c r="AE17" s="50" t="str"/>
      <x:c r="AF17" s="50" t="str">
        <x:v>Операционные расходы</x:v>
      </x:c>
    </x:row>
    <x:row r="18" ht="28" customHeight="1">
      <x:c r="A18" s="50" t="str">
        <x:v>9E2A392C3490B5A882574535</x:v>
      </x:c>
      <x:c r="B18" s="53" t="n">
        <x:v>46252</x:v>
      </x:c>
      <x:c r="C18" s="53" t="n">
        <x:v>46252</x:v>
      </x:c>
      <x:c r="D18" s="50" t="str">
        <x:v>Денежная операция</x:v>
      </x:c>
      <x:c r="E18" s="50" t="str">
        <x:v>Списание</x:v>
      </x:c>
      <x:c r="F18" s="56" t="n">
        <x:v>0</x:v>
      </x:c>
      <x:c r="G18" s="56" t="n">
        <x:v>36000</x:v>
      </x:c>
      <x:c r="H18" s="56" t="n">
        <x:v>-36000</x:v>
      </x:c>
      <x:c r="I18" s="56" t="n">
        <x:v>36000</x:v>
      </x:c>
      <x:c r="J18" s="50" t="str">
        <x:v>RUB</x:v>
      </x:c>
      <x:c r="K18" s="50" t="str">
        <x:v>Дополнительный счёт</x:v>
      </x:c>
      <x:c r="L18" s="50" t="str">
        <x:v>Обучение</x:v>
      </x:c>
      <x:c r="M18" s="50" t="str">
        <x:v>Операционная деятельность</x:v>
      </x:c>
      <x:c r="N18" s="50" t="str">
        <x:v>Прочие операционные расходы</x:v>
      </x:c>
      <x:c r="O18" s="50" t="str">
        <x:v>Расходы на обучение</x:v>
      </x:c>
      <x:c r="P18" s="50" t="str">
        <x:v>Общий</x:v>
      </x:c>
      <x:c r="Q18" s="50" t="str">
        <x:v>ЦФО «Атлас»</x:v>
      </x:c>
      <x:c r="R18" s="50" t="str">
        <x:v>АНО ДПО «Практика»</x:v>
      </x:c>
      <x:c r="S18" s="50" t="str">
        <x:v>5406999109</x:v>
      </x:c>
      <x:c r="T18" s="59" t="str">
        <x:v>Обучение сотрудников</x:v>
      </x:c>
      <x:c r="U18" s="50" t="str">
        <x:v>0%</x:v>
      </x:c>
      <x:c r="V18" s="50" t="str">
        <x:v>Операционные расходы</x:v>
      </x:c>
      <x:c r="W18" s="50" t="str">
        <x:v>Дополнительный счёт</x:v>
      </x:c>
      <x:c r="X18" s="50" t="str">
        <x:v>ALFA_XLSX</x:v>
      </x:c>
      <x:c r="Y18" s="50" t="str">
        <x:v>ALFA-9F1125AAC7</x:v>
      </x:c>
      <x:c r="Z18" s="50" t="str">
        <x:v>ALFA-9F1125AAC7-R000018</x:v>
      </x:c>
      <x:c r="AA18" s="50" t="str">
        <x:v>АБ-0806</x:v>
      </x:c>
      <x:c r="AB18" s="50" t="str">
        <x:v>14.09.2026 13:27</x:v>
      </x:c>
      <x:c r="AC18" s="50" t="str">
        <x:v>Готово</x:v>
      </x:c>
      <x:c r="AD18" s="50" t="str">
        <x:v>Нет</x:v>
      </x:c>
      <x:c r="AE18" s="50" t="str"/>
      <x:c r="AF18" s="50" t="str">
        <x:v>Операционные расходы</x:v>
      </x:c>
    </x:row>
    <x:row r="19" ht="28" customHeight="1">
      <x:c r="A19" s="50" t="str">
        <x:v>C8B05FC15816B508B72A2383</x:v>
      </x:c>
      <x:c r="B19" s="53" t="n">
        <x:v>46256</x:v>
      </x:c>
      <x:c r="C19" s="53" t="n">
        <x:v>46256</x:v>
      </x:c>
      <x:c r="D19" s="50" t="str">
        <x:v>Денежная операция</x:v>
      </x:c>
      <x:c r="E19" s="50" t="str">
        <x:v>Списание</x:v>
      </x:c>
      <x:c r="F19" s="56" t="n">
        <x:v>0</x:v>
      </x:c>
      <x:c r="G19" s="56" t="n">
        <x:v>27500</x:v>
      </x:c>
      <x:c r="H19" s="56" t="n">
        <x:v>-27500</x:v>
      </x:c>
      <x:c r="I19" s="56" t="n">
        <x:v>27500</x:v>
      </x:c>
      <x:c r="J19" s="50" t="str">
        <x:v>RUB</x:v>
      </x:c>
      <x:c r="K19" s="50" t="str">
        <x:v>Дополнительный счёт</x:v>
      </x:c>
      <x:c r="L19" s="50" t="str">
        <x:v>Коммунальные услуги</x:v>
      </x:c>
      <x:c r="M19" s="50" t="str">
        <x:v>Операционная деятельность</x:v>
      </x:c>
      <x:c r="N19" s="50" t="str">
        <x:v>Коммунальные услуги</x:v>
      </x:c>
      <x:c r="O19" s="50" t="str">
        <x:v>Электричество</x:v>
      </x:c>
      <x:c r="P19" s="50" t="str">
        <x:v>Общий</x:v>
      </x:c>
      <x:c r="Q19" s="50" t="str">
        <x:v>ЦФО «Атлас»</x:v>
      </x:c>
      <x:c r="R19" s="50" t="str">
        <x:v>ООО «Городские сети»</x:v>
      </x:c>
      <x:c r="S19" s="50" t="str">
        <x:v>5406999110</x:v>
      </x:c>
      <x:c r="T19" s="59" t="str">
        <x:v>Коммунальные услуги</x:v>
      </x:c>
      <x:c r="U19" s="50" t="str">
        <x:v>0%</x:v>
      </x:c>
      <x:c r="V19" s="50" t="str">
        <x:v>Операционные расходы</x:v>
      </x:c>
      <x:c r="W19" s="50" t="str">
        <x:v>Дополнительный счёт</x:v>
      </x:c>
      <x:c r="X19" s="50" t="str">
        <x:v>ALFA_XLSX</x:v>
      </x:c>
      <x:c r="Y19" s="50" t="str">
        <x:v>ALFA-9F1125AAC7</x:v>
      </x:c>
      <x:c r="Z19" s="50" t="str">
        <x:v>ALFA-9F1125AAC7-R000019</x:v>
      </x:c>
      <x:c r="AA19" s="50" t="str">
        <x:v>АБ-0807</x:v>
      </x:c>
      <x:c r="AB19" s="50" t="str">
        <x:v>14.09.2026 13:27</x:v>
      </x:c>
      <x:c r="AC19" s="50" t="str">
        <x:v>Готово</x:v>
      </x:c>
      <x:c r="AD19" s="50" t="str">
        <x:v>Нет</x:v>
      </x:c>
      <x:c r="AE19" s="50" t="str"/>
      <x:c r="AF19" s="50" t="str">
        <x:v>Операционные расходы</x:v>
      </x:c>
    </x:row>
    <x:row r="20" ht="28" customHeight="1">
      <x:c r="A20" s="50" t="str">
        <x:v>CF61C1542FCC0C98598F043B</x:v>
      </x:c>
      <x:c r="B20" s="53" t="n">
        <x:v>46263</x:v>
      </x:c>
      <x:c r="C20" s="53" t="n">
        <x:v>46263</x:v>
      </x:c>
      <x:c r="D20" s="50" t="str">
        <x:v>Денежная операция</x:v>
      </x:c>
      <x:c r="E20" s="50" t="str">
        <x:v>Поступление</x:v>
      </x:c>
      <x:c r="F20" s="56" t="n">
        <x:v>25000</x:v>
      </x:c>
      <x:c r="G20" s="56" t="n">
        <x:v>0</x:v>
      </x:c>
      <x:c r="H20" s="56" t="n">
        <x:v>25000</x:v>
      </x:c>
      <x:c r="I20" s="56" t="n">
        <x:v>25000</x:v>
      </x:c>
      <x:c r="J20" s="50" t="str">
        <x:v>RUB</x:v>
      </x:c>
      <x:c r="K20" s="50" t="str">
        <x:v>Дополнительный счёт</x:v>
      </x:c>
      <x:c r="L20" s="50" t="str">
        <x:v>Возврат от поставщика</x:v>
      </x:c>
      <x:c r="M20" s="50" t="str">
        <x:v>Операционная деятельность</x:v>
      </x:c>
      <x:c r="N20" s="50" t="str">
        <x:v>Возвраты от поставщиков</x:v>
      </x:c>
      <x:c r="O20" s="50" t="str"/>
      <x:c r="P20" s="50" t="str">
        <x:v>Общий</x:v>
      </x:c>
      <x:c r="Q20" s="50" t="str">
        <x:v>ЦФО «Атлас»</x:v>
      </x:c>
      <x:c r="R20" s="50" t="str">
        <x:v>ООО «Комплект Плюс»</x:v>
      </x:c>
      <x:c r="S20" s="50" t="str">
        <x:v>5406999111</x:v>
      </x:c>
      <x:c r="T20" s="59" t="str">
        <x:v>Возврат аванса поставщиком</x:v>
      </x:c>
      <x:c r="U20" s="50" t="str">
        <x:v>0%</x:v>
      </x:c>
      <x:c r="V20" s="50" t="str">
        <x:v>Дополнительный счёт</x:v>
      </x:c>
      <x:c r="W20" s="50" t="str">
        <x:v>Авансы выданные</x:v>
      </x:c>
      <x:c r="X20" s="50" t="str">
        <x:v>ALFA_XLSX</x:v>
      </x:c>
      <x:c r="Y20" s="50" t="str">
        <x:v>ALFA-9F1125AAC7</x:v>
      </x:c>
      <x:c r="Z20" s="50" t="str">
        <x:v>ALFA-9F1125AAC7-R000020</x:v>
      </x:c>
      <x:c r="AA20" s="50" t="str">
        <x:v>АБ-0808</x:v>
      </x:c>
      <x:c r="AB20" s="50" t="str">
        <x:v>14.09.2026 13:27</x:v>
      </x:c>
      <x:c r="AC20" s="50" t="str">
        <x:v>Готово</x:v>
      </x:c>
      <x:c r="AD20" s="50" t="str">
        <x:v>Нет</x:v>
      </x:c>
      <x:c r="AE20" s="50" t="str"/>
      <x:c r="AF20" s="50" t="str">
        <x:v>Авансы выданные</x:v>
      </x:c>
    </x:row>
    <x:row r="21" ht="28" customHeight="1">
      <x:c r="A21" s="50" t="str">
        <x:v>7E8D814F76DC73CE55EA97E8</x:v>
      </x:c>
      <x:c r="B21" s="53" t="n">
        <x:v>46235</x:v>
      </x:c>
      <x:c r="C21" s="53" t="n">
        <x:v>46235</x:v>
      </x:c>
      <x:c r="D21" s="50" t="str">
        <x:v>Денежная операция</x:v>
      </x:c>
      <x:c r="E21" s="50" t="str">
        <x:v>Поступление</x:v>
      </x:c>
      <x:c r="F21" s="56" t="n">
        <x:v>510000</x:v>
      </x:c>
      <x:c r="G21" s="56" t="n">
        <x:v>0</x:v>
      </x:c>
      <x:c r="H21" s="56" t="n">
        <x:v>510000</x:v>
      </x:c>
      <x:c r="I21" s="56" t="n">
        <x:v>510000</x:v>
      </x:c>
      <x:c r="J21" s="50" t="str">
        <x:v>RUB</x:v>
      </x:c>
      <x:c r="K21" s="50" t="str">
        <x:v>Резервный счёт</x:v>
      </x:c>
      <x:c r="L21" s="50" t="str">
        <x:v>Оплата от покупателя</x:v>
      </x:c>
      <x:c r="M21" s="50" t="str">
        <x:v>Операционная деятельность</x:v>
      </x:c>
      <x:c r="N21" s="50" t="str">
        <x:v>Поступления от покупателей</x:v>
      </x:c>
      <x:c r="O21" s="50" t="str">
        <x:v>Выручка по договорам подряда</x:v>
      </x:c>
      <x:c r="P21" s="50" t="str">
        <x:v>Вектор</x:v>
      </x:c>
      <x:c r="Q21" s="50" t="str">
        <x:v>ЦФО «Атлас»</x:v>
      </x:c>
      <x:c r="R21" s="50" t="str">
        <x:v>ООО «Вектор Строй»</x:v>
      </x:c>
      <x:c r="S21" s="50" t="str">
        <x:v>5406999102</x:v>
      </x:c>
      <x:c r="T21" s="59" t="str">
        <x:v>Оплата услуг по договору за проект Вектор</x:v>
      </x:c>
      <x:c r="U21" s="50" t="str">
        <x:v>0%</x:v>
      </x:c>
      <x:c r="V21" s="50" t="str">
        <x:v>Резервный счёт</x:v>
      </x:c>
      <x:c r="W21" s="50" t="str">
        <x:v>Выручка</x:v>
      </x:c>
      <x:c r="X21" s="50" t="str">
        <x:v>SBER_XLSX</x:v>
      </x:c>
      <x:c r="Y21" s="50" t="str">
        <x:v>SBER-EB91C15A3E</x:v>
      </x:c>
      <x:c r="Z21" s="50" t="str">
        <x:v>SBER-EB91C15A3E-R000012</x:v>
      </x:c>
      <x:c r="AA21" s="50" t="str">
        <x:v>СБ-0801</x:v>
      </x:c>
      <x:c r="AB21" s="50" t="str">
        <x:v>14.09.2026 13:27</x:v>
      </x:c>
      <x:c r="AC21" s="50" t="str">
        <x:v>Готово</x:v>
      </x:c>
      <x:c r="AD21" s="50" t="str">
        <x:v>Нет</x:v>
      </x:c>
      <x:c r="AE21" s="50" t="str"/>
      <x:c r="AF21" s="50" t="str">
        <x:v>Выручка</x:v>
      </x:c>
    </x:row>
    <x:row r="22" ht="28" customHeight="1">
      <x:c r="A22" s="50" t="str">
        <x:v>87481DE8A4DED63359F86D22</x:v>
      </x:c>
      <x:c r="B22" s="53" t="n">
        <x:v>46243</x:v>
      </x:c>
      <x:c r="C22" s="53" t="n">
        <x:v>46243</x:v>
      </x:c>
      <x:c r="D22" s="50" t="str">
        <x:v>Денежная операция</x:v>
      </x:c>
      <x:c r="E22" s="50" t="str">
        <x:v>Поступление</x:v>
      </x:c>
      <x:c r="F22" s="56" t="n">
        <x:v>640000</x:v>
      </x:c>
      <x:c r="G22" s="56" t="n">
        <x:v>0</x:v>
      </x:c>
      <x:c r="H22" s="56" t="n">
        <x:v>640000</x:v>
      </x:c>
      <x:c r="I22" s="56" t="n">
        <x:v>640000</x:v>
      </x:c>
      <x:c r="J22" s="50" t="str">
        <x:v>RUB</x:v>
      </x:c>
      <x:c r="K22" s="50" t="str">
        <x:v>Резервный счёт</x:v>
      </x:c>
      <x:c r="L22" s="50" t="str">
        <x:v>Оплата от покупателя</x:v>
      </x:c>
      <x:c r="M22" s="50" t="str">
        <x:v>Операционная деятельность</x:v>
      </x:c>
      <x:c r="N22" s="50" t="str">
        <x:v>Поступления от покупателей</x:v>
      </x:c>
      <x:c r="O22" s="50" t="str">
        <x:v>Выручка по договорам подряда</x:v>
      </x:c>
      <x:c r="P22" s="50" t="str">
        <x:v>Орион</x:v>
      </x:c>
      <x:c r="Q22" s="50" t="str">
        <x:v>ЦФО «Атлас»</x:v>
      </x:c>
      <x:c r="R22" s="50" t="str">
        <x:v>ООО «Орион Партнёр»</x:v>
      </x:c>
      <x:c r="S22" s="50" t="str">
        <x:v>5406999103</x:v>
      </x:c>
      <x:c r="T22" s="59" t="str">
        <x:v>Оплата услуг по договору за проект Орион</x:v>
      </x:c>
      <x:c r="U22" s="50" t="str">
        <x:v>0%</x:v>
      </x:c>
      <x:c r="V22" s="50" t="str">
        <x:v>Резервный счёт</x:v>
      </x:c>
      <x:c r="W22" s="50" t="str">
        <x:v>Выручка</x:v>
      </x:c>
      <x:c r="X22" s="50" t="str">
        <x:v>SBER_XLSX</x:v>
      </x:c>
      <x:c r="Y22" s="50" t="str">
        <x:v>SBER-EB91C15A3E</x:v>
      </x:c>
      <x:c r="Z22" s="50" t="str">
        <x:v>SBER-EB91C15A3E-R000013</x:v>
      </x:c>
      <x:c r="AA22" s="50" t="str">
        <x:v>СБ-0802</x:v>
      </x:c>
      <x:c r="AB22" s="50" t="str">
        <x:v>14.09.2026 13:27</x:v>
      </x:c>
      <x:c r="AC22" s="50" t="str">
        <x:v>Готово</x:v>
      </x:c>
      <x:c r="AD22" s="50" t="str">
        <x:v>Нет</x:v>
      </x:c>
      <x:c r="AE22" s="50" t="str"/>
      <x:c r="AF22" s="50" t="str">
        <x:v>Выручка</x:v>
      </x:c>
    </x:row>
    <x:row r="23" ht="28" customHeight="1">
      <x:c r="A23" s="50" t="str">
        <x:v>E9A4705AFDFF4250E451B8C6</x:v>
      </x:c>
      <x:c r="B23" s="53" t="n">
        <x:v>46245</x:v>
      </x:c>
      <x:c r="C23" s="53" t="n">
        <x:v>46245</x:v>
      </x:c>
      <x:c r="D23" s="50" t="str">
        <x:v>Денежная операция</x:v>
      </x:c>
      <x:c r="E23" s="50" t="str">
        <x:v>Списание</x:v>
      </x:c>
      <x:c r="F23" s="56" t="n">
        <x:v>0</x:v>
      </x:c>
      <x:c r="G23" s="56" t="n">
        <x:v>120000</x:v>
      </x:c>
      <x:c r="H23" s="56" t="n">
        <x:v>-120000</x:v>
      </x:c>
      <x:c r="I23" s="56" t="n">
        <x:v>120000</x:v>
      </x:c>
      <x:c r="J23" s="50" t="str">
        <x:v>RUB</x:v>
      </x:c>
      <x:c r="K23" s="50" t="str">
        <x:v>Резервный счёт</x:v>
      </x:c>
      <x:c r="L23" s="50" t="str">
        <x:v>Погашение кредита/займа</x:v>
      </x:c>
      <x:c r="M23" s="50" t="str">
        <x:v>Финансовая деятельность</x:v>
      </x:c>
      <x:c r="N23" s="50" t="str">
        <x:v>Погашение кредитов и займов</x:v>
      </x:c>
      <x:c r="O23" s="50" t="str"/>
      <x:c r="P23" s="50" t="str">
        <x:v>Общий</x:v>
      </x:c>
      <x:c r="Q23" s="50" t="str">
        <x:v>ЦФО «Атлас»</x:v>
      </x:c>
      <x:c r="R23" s="50" t="str">
        <x:v>АО «Капитал Банк»</x:v>
      </x:c>
      <x:c r="S23" s="50" t="str">
        <x:v>5406999112</x:v>
      </x:c>
      <x:c r="T23" s="59" t="str">
        <x:v>Погашение основной суммы кредита</x:v>
      </x:c>
      <x:c r="U23" s="50" t="str">
        <x:v>0%</x:v>
      </x:c>
      <x:c r="V23" s="50" t="str">
        <x:v>Займы</x:v>
      </x:c>
      <x:c r="W23" s="50" t="str">
        <x:v>Резервный счёт</x:v>
      </x:c>
      <x:c r="X23" s="50" t="str">
        <x:v>SBER_XLSX</x:v>
      </x:c>
      <x:c r="Y23" s="50" t="str">
        <x:v>SBER-EB91C15A3E</x:v>
      </x:c>
      <x:c r="Z23" s="50" t="str">
        <x:v>SBER-EB91C15A3E-R000014</x:v>
      </x:c>
      <x:c r="AA23" s="50" t="str">
        <x:v>СБ-0803</x:v>
      </x:c>
      <x:c r="AB23" s="50" t="str">
        <x:v>14.09.2026 13:27</x:v>
      </x:c>
      <x:c r="AC23" s="50" t="str">
        <x:v>Готово</x:v>
      </x:c>
      <x:c r="AD23" s="50" t="str">
        <x:v>Нет</x:v>
      </x:c>
      <x:c r="AE23" s="50" t="str"/>
      <x:c r="AF23" s="50" t="str">
        <x:v>Займы</x:v>
      </x:c>
    </x:row>
    <x:row r="24" ht="28" customHeight="1">
      <x:c r="A24" s="50" t="str">
        <x:v>E551AD100DC4CF823F5A7746</x:v>
      </x:c>
      <x:c r="B24" s="53" t="n">
        <x:v>46248</x:v>
      </x:c>
      <x:c r="C24" s="53" t="n">
        <x:v>46248</x:v>
      </x:c>
      <x:c r="D24" s="50" t="str">
        <x:v>Денежная операция</x:v>
      </x:c>
      <x:c r="E24" s="50" t="str">
        <x:v>Списание</x:v>
      </x:c>
      <x:c r="F24" s="56" t="n">
        <x:v>0</x:v>
      </x:c>
      <x:c r="G24" s="56" t="n">
        <x:v>22000</x:v>
      </x:c>
      <x:c r="H24" s="56" t="n">
        <x:v>-22000</x:v>
      </x:c>
      <x:c r="I24" s="56" t="n">
        <x:v>22000</x:v>
      </x:c>
      <x:c r="J24" s="50" t="str">
        <x:v>RUB</x:v>
      </x:c>
      <x:c r="K24" s="50" t="str">
        <x:v>Резервный счёт</x:v>
      </x:c>
      <x:c r="L24" s="50" t="str">
        <x:v>Проценты уплаченные</x:v>
      </x:c>
      <x:c r="M24" s="50" t="str">
        <x:v>Финансовая деятельность</x:v>
      </x:c>
      <x:c r="N24" s="50" t="str">
        <x:v>Проценты уплаченные</x:v>
      </x:c>
      <x:c r="O24" s="50" t="str">
        <x:v>Проценты по кредитам</x:v>
      </x:c>
      <x:c r="P24" s="50" t="str">
        <x:v>Общий</x:v>
      </x:c>
      <x:c r="Q24" s="50" t="str">
        <x:v>ЦФО «Атлас»</x:v>
      </x:c>
      <x:c r="R24" s="50" t="str">
        <x:v>АО «Капитал Банк»</x:v>
      </x:c>
      <x:c r="S24" s="50" t="str">
        <x:v>5406999112</x:v>
      </x:c>
      <x:c r="T24" s="59" t="str">
        <x:v>Проценты по кредиту за август</x:v>
      </x:c>
      <x:c r="U24" s="50" t="str">
        <x:v>0%</x:v>
      </x:c>
      <x:c r="V24" s="50" t="str">
        <x:v>Операционные расходы</x:v>
      </x:c>
      <x:c r="W24" s="50" t="str">
        <x:v>Резервный счёт</x:v>
      </x:c>
      <x:c r="X24" s="50" t="str">
        <x:v>SBER_XLSX</x:v>
      </x:c>
      <x:c r="Y24" s="50" t="str">
        <x:v>SBER-EB91C15A3E</x:v>
      </x:c>
      <x:c r="Z24" s="50" t="str">
        <x:v>SBER-EB91C15A3E-R000015</x:v>
      </x:c>
      <x:c r="AA24" s="50" t="str">
        <x:v>СБ-0804</x:v>
      </x:c>
      <x:c r="AB24" s="50" t="str">
        <x:v>14.09.2026 13:27</x:v>
      </x:c>
      <x:c r="AC24" s="50" t="str">
        <x:v>Готово</x:v>
      </x:c>
      <x:c r="AD24" s="50" t="str">
        <x:v>Нет</x:v>
      </x:c>
      <x:c r="AE24" s="50" t="str"/>
      <x:c r="AF24" s="50" t="str">
        <x:v>Операционные расходы</x:v>
      </x:c>
    </x:row>
    <x:row r="25" ht="28" customHeight="1">
      <x:c r="A25" s="50" t="str">
        <x:v>65C8D7470D768F31B825898C</x:v>
      </x:c>
      <x:c r="B25" s="53" t="n">
        <x:v>46251</x:v>
      </x:c>
      <x:c r="C25" s="53" t="n">
        <x:v>46251</x:v>
      </x:c>
      <x:c r="D25" s="50" t="str">
        <x:v>Денежная операция</x:v>
      </x:c>
      <x:c r="E25" s="50" t="str">
        <x:v>Списание</x:v>
      </x:c>
      <x:c r="F25" s="56" t="n">
        <x:v>0</x:v>
      </x:c>
      <x:c r="G25" s="56" t="n">
        <x:v>3100</x:v>
      </x:c>
      <x:c r="H25" s="56" t="n">
        <x:v>-3100</x:v>
      </x:c>
      <x:c r="I25" s="56" t="n">
        <x:v>3100</x:v>
      </x:c>
      <x:c r="J25" s="50" t="str">
        <x:v>RUB</x:v>
      </x:c>
      <x:c r="K25" s="50" t="str">
        <x:v>Резервный счёт</x:v>
      </x:c>
      <x:c r="L25" s="50" t="str">
        <x:v>Банковское обслуживание</x:v>
      </x:c>
      <x:c r="M25" s="50" t="str">
        <x:v>Операционная деятельность</x:v>
      </x:c>
      <x:c r="N25" s="50" t="str">
        <x:v>Банковское обслуживание</x:v>
      </x:c>
      <x:c r="O25" s="50" t="str">
        <x:v>Расчетно-кассовое обслуживание</x:v>
      </x:c>
      <x:c r="P25" s="50" t="str">
        <x:v>Общий</x:v>
      </x:c>
      <x:c r="Q25" s="50" t="str">
        <x:v>ЦФО «Атлас»</x:v>
      </x:c>
      <x:c r="R25" s="50" t="str">
        <x:v>ООО «Северный мост»</x:v>
      </x:c>
      <x:c r="S25" s="50" t="str">
        <x:v>5406999101</x:v>
      </x:c>
      <x:c r="T25" s="59" t="str">
        <x:v>Комиссия банка за расчетное обслуживание</x:v>
      </x:c>
      <x:c r="U25" s="50" t="str">
        <x:v>0%</x:v>
      </x:c>
      <x:c r="V25" s="50" t="str">
        <x:v>Операционные расходы</x:v>
      </x:c>
      <x:c r="W25" s="50" t="str">
        <x:v>Резервный счёт</x:v>
      </x:c>
      <x:c r="X25" s="50" t="str">
        <x:v>SBER_XLSX</x:v>
      </x:c>
      <x:c r="Y25" s="50" t="str">
        <x:v>SBER-EB91C15A3E</x:v>
      </x:c>
      <x:c r="Z25" s="50" t="str">
        <x:v>SBER-EB91C15A3E-R000016</x:v>
      </x:c>
      <x:c r="AA25" s="50" t="str">
        <x:v>СБ-0805</x:v>
      </x:c>
      <x:c r="AB25" s="50" t="str">
        <x:v>14.09.2026 13:27</x:v>
      </x:c>
      <x:c r="AC25" s="50" t="str">
        <x:v>Готово</x:v>
      </x:c>
      <x:c r="AD25" s="50" t="str">
        <x:v>Нет</x:v>
      </x:c>
      <x:c r="AE25" s="50" t="str"/>
      <x:c r="AF25" s="50" t="str">
        <x:v>Операционные расходы</x:v>
      </x:c>
    </x:row>
    <x:row r="26" ht="28" customHeight="1">
      <x:c r="A26" s="50" t="str">
        <x:v>439910756E1D8529EFD23774</x:v>
      </x:c>
      <x:c r="B26" s="53" t="n">
        <x:v>46255</x:v>
      </x:c>
      <x:c r="C26" s="53" t="n">
        <x:v>46255</x:v>
      </x:c>
      <x:c r="D26" s="50" t="str">
        <x:v>Денежная операция</x:v>
      </x:c>
      <x:c r="E26" s="50" t="str">
        <x:v>Списание</x:v>
      </x:c>
      <x:c r="F26" s="56" t="n">
        <x:v>0</x:v>
      </x:c>
      <x:c r="G26" s="56" t="n">
        <x:v>125000</x:v>
      </x:c>
      <x:c r="H26" s="56" t="n">
        <x:v>-125000</x:v>
      </x:c>
      <x:c r="I26" s="56" t="n">
        <x:v>125000</x:v>
      </x:c>
      <x:c r="J26" s="50" t="str">
        <x:v>RUB</x:v>
      </x:c>
      <x:c r="K26" s="50" t="str">
        <x:v>Резервный счёт</x:v>
      </x:c>
      <x:c r="L26" s="50" t="str">
        <x:v>Аренда</x:v>
      </x:c>
      <x:c r="M26" s="50" t="str">
        <x:v>Операционная деятельность</x:v>
      </x:c>
      <x:c r="N26" s="50" t="str">
        <x:v>Аренда помещений</x:v>
      </x:c>
      <x:c r="O26" s="50" t="str">
        <x:v>Аренда офисов</x:v>
      </x:c>
      <x:c r="P26" s="50" t="str">
        <x:v>Общий</x:v>
      </x:c>
      <x:c r="Q26" s="50" t="str">
        <x:v>ЦФО «Атлас»</x:v>
      </x:c>
      <x:c r="R26" s="50" t="str">
        <x:v>ООО «Деловой квартал»</x:v>
      </x:c>
      <x:c r="S26" s="50" t="str">
        <x:v>5406999104</x:v>
      </x:c>
      <x:c r="T26" s="59" t="str">
        <x:v>Аренда офиса за август</x:v>
      </x:c>
      <x:c r="U26" s="50" t="str">
        <x:v>0%</x:v>
      </x:c>
      <x:c r="V26" s="50" t="str">
        <x:v>Операционные расходы</x:v>
      </x:c>
      <x:c r="W26" s="50" t="str">
        <x:v>Резервный счёт</x:v>
      </x:c>
      <x:c r="X26" s="50" t="str">
        <x:v>SBER_XLSX</x:v>
      </x:c>
      <x:c r="Y26" s="50" t="str">
        <x:v>SBER-EB91C15A3E</x:v>
      </x:c>
      <x:c r="Z26" s="50" t="str">
        <x:v>SBER-EB91C15A3E-R000017</x:v>
      </x:c>
      <x:c r="AA26" s="50" t="str">
        <x:v>СБ-0806</x:v>
      </x:c>
      <x:c r="AB26" s="50" t="str">
        <x:v>14.09.2026 13:27</x:v>
      </x:c>
      <x:c r="AC26" s="50" t="str">
        <x:v>Готово</x:v>
      </x:c>
      <x:c r="AD26" s="50" t="str">
        <x:v>Нет</x:v>
      </x:c>
      <x:c r="AE26" s="50" t="str"/>
      <x:c r="AF26" s="50" t="str">
        <x:v>Операционные расходы</x:v>
      </x:c>
    </x:row>
    <x:row r="27" ht="28" customHeight="1">
      <x:c r="A27" s="51" t="str">
        <x:v>14473537DB0983A2BE923A92</x:v>
      </x:c>
      <x:c r="B27" s="54" t="n">
        <x:v>46259</x:v>
      </x:c>
      <x:c r="C27" s="54" t="n">
        <x:v>46259</x:v>
      </x:c>
      <x:c r="D27" s="51" t="str">
        <x:v>Денежная операция</x:v>
      </x:c>
      <x:c r="E27" s="51" t="str">
        <x:v>Списание</x:v>
      </x:c>
      <x:c r="F27" s="57" t="n">
        <x:v>0</x:v>
      </x:c>
      <x:c r="G27" s="57" t="n">
        <x:v>310000</x:v>
      </x:c>
      <x:c r="H27" s="57" t="n">
        <x:v>-310000</x:v>
      </x:c>
      <x:c r="I27" s="57" t="n">
        <x:v>310000</x:v>
      </x:c>
      <x:c r="J27" s="51" t="str">
        <x:v>RUB</x:v>
      </x:c>
      <x:c r="K27" s="51" t="str">
        <x:v>Резервный счёт</x:v>
      </x:c>
      <x:c r="L27" s="51" t="str">
        <x:v>Зарплата</x:v>
      </x:c>
      <x:c r="M27" s="51" t="str">
        <x:v>Операционная деятельность</x:v>
      </x:c>
      <x:c r="N27" s="51" t="str">
        <x:v>Заработная плата</x:v>
      </x:c>
      <x:c r="O27" s="51" t="str">
        <x:v>Окладные выплаты</x:v>
      </x:c>
      <x:c r="P27" s="51" t="str">
        <x:v>Общий</x:v>
      </x:c>
      <x:c r="Q27" s="51" t="str">
        <x:v>ЦФО «Атлас»</x:v>
      </x:c>
      <x:c r="R27" s="51" t="str">
        <x:v>Зарплатный реестр</x:v>
      </x:c>
      <x:c r="S27" s="51" t="str">
        <x:v>5406999105</x:v>
      </x:c>
      <x:c r="T27" s="60" t="str">
        <x:v>Заработная плата за август</x:v>
      </x:c>
      <x:c r="U27" s="51" t="str">
        <x:v>0%</x:v>
      </x:c>
      <x:c r="V27" s="51" t="str">
        <x:v>Фонд оплаты труда</x:v>
      </x:c>
      <x:c r="W27" s="51" t="str">
        <x:v>Резервный счёт</x:v>
      </x:c>
      <x:c r="X27" s="51" t="str">
        <x:v>SBER_XLSX</x:v>
      </x:c>
      <x:c r="Y27" s="51" t="str">
        <x:v>SBER-EB91C15A3E</x:v>
      </x:c>
      <x:c r="Z27" s="51" t="str">
        <x:v>SBER-EB91C15A3E-R000018</x:v>
      </x:c>
      <x:c r="AA27" s="51" t="str">
        <x:v>СБ-0807</x:v>
      </x:c>
      <x:c r="AB27" s="51" t="str">
        <x:v>14.09.2026 13:27</x:v>
      </x:c>
      <x:c r="AC27" s="51" t="str">
        <x:v>Готово</x:v>
      </x:c>
      <x:c r="AD27" s="51" t="str">
        <x:v>Нет</x:v>
      </x:c>
      <x:c r="AE27" s="51" t="str"/>
      <x:c r="AF27" s="51" t="str">
        <x:v>Фонд оплаты труда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6A5A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6" hidden="0" customWidth="1"/>
    <x:col min="4" max="4" width="14" hidden="0" customWidth="1"/>
    <x:col min="5" max="5" width="14" hidden="0" customWidth="1"/>
    <x:col min="6" max="6" width="18" hidden="0" customWidth="1"/>
    <x:col min="7" max="7" width="26" hidden="0" customWidth="1"/>
    <x:col min="8" max="8" width="14" hidden="0" customWidth="1"/>
    <x:col min="9" max="9" width="42" hidden="0" customWidth="1"/>
    <x:col min="10" max="10" width="16" hidden="0" customWidth="1"/>
    <x:col min="11" max="11" width="15" hidden="0" customWidth="1"/>
    <x:col min="12" max="12" width="20" hidden="0" customWidth="1"/>
    <x:col min="13" max="13" width="26" hidden="0" customWidth="1"/>
    <x:col min="14" max="14" width="17" hidden="0" customWidth="1"/>
    <x:col min="15" max="15" width="34" hidden="0" customWidth="1"/>
    <x:col min="16" max="16" width="24" hidden="0" customWidth="1"/>
    <x:col min="17" max="17" width="18" hidden="0" customWidth="1"/>
    <x:col min="18" max="18" width="20" hidden="0" customWidth="1"/>
    <x:col min="19" max="19" width="15" hidden="0" customWidth="1"/>
  </x:cols>
  <x:sheetData>
    <x:row r="1" ht="28" customHeight="1">
      <x:c r="A1" s="3" t="str">
        <x:v>Операция, требующая решения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48" t="str">
        <x:v>Источник: output/sample/требует_решения.csv. Жёлтые поля заполняет финансист.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34" customHeight="1">
      <x:c r="A4" s="16" t="str">
        <x:v>ID операции</x:v>
      </x:c>
      <x:c r="B4" s="17" t="str">
        <x:v>Дата операции</x:v>
      </x:c>
      <x:c r="C4" s="17" t="str">
        <x:v>Тип операции</x:v>
      </x:c>
      <x:c r="D4" s="17" t="str">
        <x:v>Поступление</x:v>
      </x:c>
      <x:c r="E4" s="17" t="str">
        <x:v>Списание</x:v>
      </x:c>
      <x:c r="F4" s="17" t="str">
        <x:v>Счёт денежных средств</x:v>
      </x:c>
      <x:c r="G4" s="17" t="str">
        <x:v>Контрагент</x:v>
      </x:c>
      <x:c r="H4" s="17" t="str">
        <x:v>ИНН</x:v>
      </x:c>
      <x:c r="I4" s="17" t="str">
        <x:v>Назначение</x:v>
      </x:c>
      <x:c r="J4" s="17" t="str">
        <x:v>Тип источника</x:v>
      </x:c>
      <x:c r="K4" s="17" t="str">
        <x:v>Номер документа</x:v>
      </x:c>
      <x:c r="L4" s="17" t="str">
        <x:v>Статус автоматики</x:v>
      </x:c>
      <x:c r="M4" s="17" t="str">
        <x:v>Комментарий</x:v>
      </x:c>
      <x:c r="N4" s="17" t="str">
        <x:v>Статус решения</x:v>
      </x:c>
      <x:c r="O4" s="17" t="str">
        <x:v>Решение финансиста</x:v>
      </x:c>
      <x:c r="P4" s="17" t="str">
        <x:v>Статья после решения</x:v>
      </x:c>
      <x:c r="Q4" s="17" t="str">
        <x:v>Проект после решения</x:v>
      </x:c>
      <x:c r="R4" s="17" t="str">
        <x:v>Ответственный</x:v>
      </x:c>
      <x:c r="S4" s="18" t="str">
        <x:v>Дата решения</x:v>
      </x:c>
    </x:row>
    <x:row r="5" ht="58" customHeight="1">
      <x:c r="A5" s="2" t="str">
        <x:v>F466E5B48BF5A1F6F837326E</x:v>
      </x:c>
      <x:c r="B5" s="41" t="n">
        <x:v>46262</x:v>
      </x:c>
      <x:c r="C5" s="2" t="str">
        <x:v>Списание</x:v>
      </x:c>
      <x:c r="D5" s="61" t="n">
        <x:v>0</x:v>
      </x:c>
      <x:c r="E5" s="61" t="n">
        <x:v>74000</x:v>
      </x:c>
      <x:c r="F5" s="2" t="str">
        <x:v>Резервный счёт</x:v>
      </x:c>
      <x:c r="G5" s="2" t="str">
        <x:v>ООО «Контур Безопасности»</x:v>
      </x:c>
      <x:c r="H5" s="2" t="str">
        <x:v>5406999113</x:v>
      </x:c>
      <x:c r="I5" s="37" t="str">
        <x:v>Лицензия платформы информационной безопасности за август</x:v>
      </x:c>
      <x:c r="J5" s="2" t="str">
        <x:v>SBER_XLSX</x:v>
      </x:c>
      <x:c r="K5" s="2" t="str">
        <x:v>СБ-0808</x:v>
      </x:c>
      <x:c r="L5" s="2" t="str">
        <x:v>Требует разъяснения</x:v>
      </x:c>
      <x:c r="M5" s="37" t="str">
        <x:v>Не найдено правило маппинга</x:v>
      </x:c>
      <x:c r="N5" s="65" t="str">
        <x:v>Открыто</x:v>
      </x:c>
      <x:c r="O5" s="65"/>
      <x:c r="P5" s="65"/>
      <x:c r="Q5" s="65"/>
      <x:c r="R5" s="65"/>
      <x:c r="S5" s="66"/>
    </x:row>
  </x:sheetData>
  <x:dataValidations count="1">
    <x:dataValidation type="list" sqref="N5">
      <x:formula1>"Открыто,Согласовано,Отложено"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E8B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" hidden="0" customWidth="1"/>
    <x:col min="7" max="7" width="4" hidden="0" customWidth="1"/>
  </x:cols>
  <x:sheetData>
    <x:row r="2" ht="28" customHeight="1">
      <x:c r="A2" s="67" t="str">
        <x:v>Сверка денежных оборотов</x:v>
      </x:c>
      <x:c r="B2" s="67"/>
      <x:c r="C2" s="67"/>
      <x:c r="D2" s="67"/>
      <x:c r="E2" s="67"/>
      <x:c r="F2" s="67"/>
      <x:c r="G2" s="67"/>
    </x:row>
    <x:row r="3">
      <x:c r="A3" s="69" t="str">
        <x:v>Источник: output/sample/контроль.md</x:v>
      </x:c>
      <x:c r="B3" s="69"/>
      <x:c r="C3" s="69"/>
      <x:c r="D3" s="69"/>
      <x:c r="E3" s="69"/>
      <x:c r="F3" s="69"/>
      <x:c r="G3" s="69"/>
    </x:row>
    <x:row r="5" ht="34" customHeight="1">
      <x:c r="A5" s="16" t="str">
        <x:v>Банк</x:v>
      </x:c>
      <x:c r="B5" s="17" t="str">
        <x:v>Входящий остаток</x:v>
      </x:c>
      <x:c r="C5" s="17" t="str">
        <x:v>Поступления</x:v>
      </x:c>
      <x:c r="D5" s="17" t="str">
        <x:v>Списания</x:v>
      </x:c>
      <x:c r="E5" s="18" t="str">
        <x:v>Исходящий остаток</x:v>
      </x:c>
    </x:row>
    <x:row r="6">
      <x:c r="A6" t="str">
        <x:v>Т-Банк</x:v>
      </x:c>
      <x:c r="B6" s="82" t="n">
        <x:v>500000</x:v>
      </x:c>
      <x:c r="C6" s="82" t="n">
        <x:v>1800000</x:v>
      </x:c>
      <x:c r="D6" s="82" t="n">
        <x:v>689900</x:v>
      </x:c>
      <x:c r="E6" s="82" t="n">
        <x:v>1610100</x:v>
      </x:c>
    </x:row>
    <x:row r="7">
      <x:c r="A7" t="str">
        <x:v>Альфа-Банк</x:v>
      </x:c>
      <x:c r="B7" s="82" t="n">
        <x:v>1200000</x:v>
      </x:c>
      <x:c r="C7" s="82" t="n">
        <x:v>25000</x:v>
      </x:c>
      <x:c r="D7" s="82" t="n">
        <x:v>434000</x:v>
      </x:c>
      <x:c r="E7" s="82" t="n">
        <x:v>791000</x:v>
      </x:c>
    </x:row>
    <x:row r="8">
      <x:c r="A8" t="str">
        <x:v>СберБизнес</x:v>
      </x:c>
      <x:c r="B8" s="82" t="n">
        <x:v>2000000</x:v>
      </x:c>
      <x:c r="C8" s="82" t="n">
        <x:v>1150000</x:v>
      </x:c>
      <x:c r="D8" s="82" t="n">
        <x:v>654100</x:v>
      </x:c>
      <x:c r="E8" s="82" t="n">
        <x:v>2495900</x:v>
      </x:c>
    </x:row>
    <x:row r="9">
      <x:c r="A9" s="84" t="str">
        <x:v>Всего</x:v>
      </x:c>
      <x:c r="B9" s="85" t="n">
        <x:f>SUM(B6:B8)</x:f>
        <x:v>3700000</x:v>
      </x:c>
      <x:c r="C9" s="85" t="n">
        <x:f>SUM(C6:C8)</x:f>
        <x:v>2975000</x:v>
      </x:c>
      <x:c r="D9" s="85" t="n">
        <x:f>SUM(D6:D8)</x:f>
        <x:v>1778000</x:v>
      </x:c>
      <x:c r="E9" s="85" t="n">
        <x:f>SUM(E6:E8)</x:f>
        <x:v>4897000</x:v>
      </x:c>
    </x:row>
    <x:row r="12" ht="34" customHeight="1">
      <x:c r="A12" s="16" t="str">
        <x:v>Банк</x:v>
      </x:c>
      <x:c r="B12" s="17" t="str">
        <x:v>Расчётный остаток</x:v>
      </x:c>
      <x:c r="C12" s="18" t="str">
        <x:v>Отклонение</x:v>
      </x:c>
    </x:row>
    <x:row r="13">
      <x:c r="A13" t="str">
        <x:v>Т-Банк</x:v>
      </x:c>
      <x:c r="B13" s="86" t="n">
        <x:f>B6+C6-D6</x:f>
        <x:v>1610100</x:v>
      </x:c>
      <x:c r="C13" s="86" t="n">
        <x:f>B13-E6</x:f>
        <x:v>0</x:v>
      </x:c>
    </x:row>
    <x:row r="14">
      <x:c r="A14" t="str">
        <x:v>Альфа-Банк</x:v>
      </x:c>
      <x:c r="B14" s="86" t="n">
        <x:f>B7+C7-D7</x:f>
        <x:v>791000</x:v>
      </x:c>
      <x:c r="C14" s="86" t="n">
        <x:f>B14-E7</x:f>
        <x:v>0</x:v>
      </x:c>
    </x:row>
    <x:row r="15">
      <x:c r="A15" t="str">
        <x:v>СберБизнес</x:v>
      </x:c>
      <x:c r="B15" s="86" t="n">
        <x:f>B8+C8-D8</x:f>
        <x:v>2495900</x:v>
      </x:c>
      <x:c r="C15" s="86" t="n">
        <x:f>B15-E8</x:f>
        <x:v>0</x:v>
      </x:c>
    </x:row>
    <x:row r="16">
      <x:c r="A16" s="84" t="str">
        <x:v>Всего</x:v>
      </x:c>
      <x:c r="B16" s="88" t="n">
        <x:f>SUM(B13:B15)</x:f>
        <x:v>4897000</x:v>
      </x:c>
      <x:c r="C16" s="88" t="n">
        <x:f>B16-E9</x:f>
        <x:v>0</x:v>
      </x:c>
    </x:row>
    <x:row r="18">
      <x:c r="A18" s="90" t="str">
        <x:v>Статус сверки</x:v>
      </x:c>
      <x:c r="B18" s="90" t="str">
        <x:f>IF(COUNTIFS(C13:C16,"&lt;&gt;0")=0,"Все остатки сошлись","Есть расхождения")</x:f>
        <x:v>Все остатки сошлись</x:v>
      </x:c>
    </x:row>
    <x:row r="20" ht="28" customHeight="1">
      <x:c r="A20" s="94" t="str">
        <x:v>Проверка</x:v>
      </x:c>
      <x:c r="B20" s="94" t="str">
        <x:v>Для каждого счёта выполняется формула: входящий остаток + поступления − списания = исходящий остаток.</x:v>
      </x:c>
      <x:c r="C20" s="94"/>
      <x:c r="D20" s="94"/>
      <x:c r="E20" s="94"/>
    </x:row>
    <x:row r="21" ht="28" customHeight="1">
      <x:c r="A21" s="94"/>
      <x:c r="B21" s="94"/>
      <x:c r="C21" s="94"/>
      <x:c r="D21" s="94"/>
      <x:c r="E21" s="94"/>
    </x:row>
  </x:sheetData>
  <x:mergeCells>
    <x:mergeCell ref="A20:A21"/>
    <x:mergeCell ref="B20:E21"/>
  </x:mergeCells>
  <x:conditionalFormatting sqref="C13:C16">
    <x:cfRule type="cellIs" dxfId="0" priority="1" operator="notEqual">
      <x:formula>0</x:formula>
    </x:cfRule>
  </x:conditionalFormatting>
  <x:pageMargins left="0.7" right="0.7" top="0.75" bottom="0.75" header="0.3" footer="0.3"/>
</x:worksheet>
</file>